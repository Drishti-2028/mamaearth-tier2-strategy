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heme/theme1.xml" ContentType="application/vnd.openxmlformats-officedocument.theme+xml"/>
  <Override PartName="/xl/theme/themeOverride1.xml" ContentType="application/vnd.openxmlformats-officedocument.themeOverrid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9200" windowHeight="6800" firstSheet="1" activeTab="5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<sst xmlns="http://schemas.openxmlformats.org/spreadsheetml/2006/main" count="147" uniqueCount="95">
  <si>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</si>
  <si>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</si>
  <si>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</si>
  <si>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</si>
  <si>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</si>
  <si>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</si>
  <si>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</si>
  <si>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</si>
  <si>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</si>
  <si>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</si>
  <si>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</si>
  <si>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</si>
  <si>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</si>
  <si>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</si>
  <si>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EPS</t>
  </si>
  <si>
    <t>Price to earning</t>
  </si>
  <si>
    <t>Price</t>
  </si>
  <si>
    <t>RATIOS:</t>
  </si>
  <si>
    <t>Dividend Payout</t>
  </si>
  <si>
    <t>OPM</t>
  </si>
  <si>
    <t>TRENDS:</t>
  </si>
  <si>
    <t>10 YEARS</t>
  </si>
  <si>
    <t>7 YEARS</t>
  </si>
  <si>
    <t>5 YEARS</t>
  </si>
  <si>
    <t>3 YEARS</t>
  </si>
  <si>
    <t>RECENT</t>
  </si>
  <si>
    <t>BEST</t>
  </si>
  <si>
    <t>WORST</t>
  </si>
  <si>
    <t>Sales Growth</t>
  </si>
  <si>
    <t>Price to Earning</t>
  </si>
  <si>
    <t>Equity Share Capital</t>
  </si>
  <si>
    <t>Reserves</t>
  </si>
  <si>
    <t>Borrowings</t>
  </si>
  <si>
    <t>Other Liabilities</t>
  </si>
  <si>
    <t>Total</t>
  </si>
  <si>
    <t>Net Block</t>
  </si>
  <si>
    <t>Capital Work in Progress</t>
  </si>
  <si>
    <t>Investments</t>
  </si>
  <si>
    <t>Other Assets</t>
  </si>
  <si>
    <t>Working Capital</t>
  </si>
  <si>
    <t>Debtors</t>
  </si>
  <si>
    <t>Inventory</t>
  </si>
  <si>
    <t>Debtor Days</t>
  </si>
  <si>
    <t>Inventory Turnover</t>
  </si>
  <si>
    <t>Return on Equity</t>
  </si>
  <si>
    <t>Return on Capital Emp</t>
  </si>
  <si>
    <t>Cash from Operating Activity</t>
  </si>
  <si>
    <t>Cash from Investing Activity</t>
  </si>
  <si>
    <t>Cash from Financing Activity</t>
  </si>
  <si>
    <t>Net Cash Flow</t>
  </si>
  <si>
    <t>How to use it?</t>
  </si>
  <si>
    <t>You can customize this workbook as you want.</t>
  </si>
  <si>
    <t>You can add custom formating, add conditional formating, add your own formulas… do ANYTHING.</t>
  </si>
  <si>
    <t>Please don't edit the "Data Sheet" only.</t>
  </si>
  <si>
    <t>After customization, you can upload this back on Screener.</t>
  </si>
  <si>
    <t>Upload on:</t>
  </si>
  <si>
    <t xml:space="preserve"> https://www.screener.in/excel/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</si>
  <si>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</si>
  <si>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</si>
  <si>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</si>
  <si>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</si>
  <si>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r>
      <rPr>
        <sz val="11"/>
        <color theme="1"/>
        <rFont val="Calibri"/>
        <charset val="134"/>
        <scheme val="minor"/>
      </rPr>
      <t xml:space="preserve">You can report any formula errors on the worksheet at: </t>
    </r>
    <r>
      <rPr>
        <b/>
        <sz val="11"/>
        <color theme="1"/>
        <rFont val="Calibri"/>
        <charset val="134"/>
        <scheme val="minor"/>
      </rPr>
      <t>support@screener.in</t>
    </r>
  </si>
  <si>
    <t>COMPANY NAME</t>
  </si>
  <si>
    <t>HONASA CONSUMER LTD</t>
  </si>
  <si>
    <t>LATEST VERSION</t>
  </si>
  <si>
    <t>CURRENT VERSION</t>
  </si>
  <si>
    <t>META</t>
  </si>
  <si>
    <t>Number of shares</t>
  </si>
  <si>
    <t>Face Value</t>
  </si>
  <si>
    <t>Current Price</t>
  </si>
  <si>
    <t>Market Capitalization</t>
  </si>
  <si>
    <t>PROFIT &amp; LOSS</t>
  </si>
  <si>
    <t>Report Date</t>
  </si>
  <si>
    <t>Ad spend % of revenue 53%</t>
  </si>
  <si>
    <t>Raw Material Cost</t>
  </si>
  <si>
    <t>Net profit decline  -35%</t>
  </si>
  <si>
    <t>Change in Inventory</t>
  </si>
  <si>
    <t>Revenue growth 349%</t>
  </si>
  <si>
    <t>Power and Fuel</t>
  </si>
  <si>
    <t>Other Mfr. Exp</t>
  </si>
  <si>
    <t>Employee Cost</t>
  </si>
  <si>
    <t>Selling and admin</t>
  </si>
  <si>
    <t>Other Expenses</t>
  </si>
  <si>
    <t>Dividend Amount</t>
  </si>
  <si>
    <t>Quarters</t>
  </si>
  <si>
    <t>BALANCE SHEET</t>
  </si>
  <si>
    <t>Receivables</t>
  </si>
  <si>
    <t>Cash &amp; Bank</t>
  </si>
  <si>
    <t>No. of Equity Shares</t>
  </si>
  <si>
    <t>New Bonus Shares</t>
  </si>
  <si>
    <t>Face value</t>
  </si>
  <si>
    <t>CASH FLOW:</t>
  </si>
  <si>
    <t>PRICE:</t>
  </si>
  <si>
    <t>DERIVED:</t>
  </si>
  <si>
    <t>Adjusted Equity Shares in Cr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</si>
</sst>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[$-409]mmm/yy;@"/>
    <numFmt numFmtId="181" formatCode="_(* #,##0.00_);_(* \(#,##0.00\);_(* &quot;-&quot;??_);_(@_)"/>
  </numFmts>
  <fonts count="28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name val="Calibri"/>
      <charset val="134"/>
      <scheme val="minor"/>
    </font>
    <font>
      <u/>
      <sz val="11"/>
      <color theme="10"/>
      <name val="Calibri"/>
      <charset val="134"/>
    </font>
    <font>
      <b/>
      <sz val="11"/>
      <color theme="0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u/>
      <sz val="11"/>
      <color theme="10"/>
      <name val="Calibri"/>
      <charset val="134"/>
    </font>
    <font>
      <b/>
      <sz val="11"/>
      <color rgb="FFFF000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0"/>
      <name val="Calibri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0275D8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/>
    <xf numFmtId="177" fontId="8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178" fontId="8" fillId="0" borderId="0" applyFont="0" applyFill="0" applyBorder="0" applyAlignment="0" applyProtection="0">
      <alignment vertical="center"/>
    </xf>
    <xf numFmtId="179" fontId="8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center"/>
    </xf>
    <xf numFmtId="0" fontId="8" fillId="6" borderId="1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7" borderId="4" applyNumberFormat="0" applyAlignment="0" applyProtection="0">
      <alignment vertical="center"/>
    </xf>
    <xf numFmtId="0" fontId="17" fillId="8" borderId="5" applyNumberFormat="0" applyAlignment="0" applyProtection="0">
      <alignment vertical="center"/>
    </xf>
    <xf numFmtId="0" fontId="18" fillId="8" borderId="4" applyNumberFormat="0" applyAlignment="0" applyProtection="0">
      <alignment vertical="center"/>
    </xf>
    <xf numFmtId="0" fontId="19" fillId="9" borderId="6" applyNumberFormat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4" borderId="0" applyNumberFormat="0" applyBorder="0" applyAlignment="0" applyProtection="0"/>
    <xf numFmtId="0" fontId="25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5" borderId="0" applyNumberFormat="0" applyBorder="0" applyAlignment="0" applyProtection="0"/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7" fillId="2" borderId="0" applyNumberFormat="0" applyBorder="0" applyAlignment="0" applyProtection="0"/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</cellStyleXfs>
  <cellXfs count="36">
    <xf numFmtId="0" fontId="0" fillId="0" borderId="0" xfId="0"/>
    <xf numFmtId="176" fontId="1" fillId="0" borderId="0" xfId="1" applyFont="1" applyBorder="1"/>
    <xf numFmtId="180" fontId="2" fillId="0" borderId="0" xfId="1" applyNumberFormat="1" applyFont="1" applyFill="1" applyBorder="1"/>
    <xf numFmtId="176" fontId="0" fillId="0" borderId="0" xfId="1" applyFont="1" applyBorder="1"/>
    <xf numFmtId="176" fontId="3" fillId="0" borderId="0" xfId="6" applyNumberFormat="1" applyBorder="1" applyAlignment="1" applyProtection="1">
      <alignment horizontal="center"/>
    </xf>
    <xf numFmtId="176" fontId="4" fillId="2" borderId="0" xfId="45" applyNumberFormat="1" applyFont="1" applyBorder="1" applyAlignment="1">
      <alignment horizontal="center"/>
    </xf>
    <xf numFmtId="180" fontId="4" fillId="3" borderId="0" xfId="1" applyNumberFormat="1" applyFont="1" applyFill="1" applyBorder="1"/>
    <xf numFmtId="180" fontId="4" fillId="3" borderId="0" xfId="0" applyNumberFormat="1" applyFont="1" applyFill="1" applyBorder="1" applyAlignment="1">
      <alignment horizontal="center"/>
    </xf>
    <xf numFmtId="0" fontId="0" fillId="0" borderId="0" xfId="0" applyAlignment="1">
      <alignment horizontal="left"/>
    </xf>
    <xf numFmtId="9" fontId="0" fillId="0" borderId="0" xfId="0" applyNumberFormat="1"/>
    <xf numFmtId="2" fontId="0" fillId="0" borderId="0" xfId="1" applyNumberFormat="1" applyFont="1" applyBorder="1"/>
    <xf numFmtId="181" fontId="0" fillId="0" borderId="0" xfId="1" applyNumberFormat="1" applyFont="1" applyBorder="1"/>
    <xf numFmtId="0" fontId="1" fillId="0" borderId="0" xfId="0" applyFont="1" applyBorder="1"/>
    <xf numFmtId="0" fontId="0" fillId="0" borderId="0" xfId="0" applyBorder="1"/>
    <xf numFmtId="0" fontId="0" fillId="0" borderId="0" xfId="0" applyBorder="1" applyAlignment="1">
      <alignment horizontal="left"/>
    </xf>
    <xf numFmtId="0" fontId="5" fillId="0" borderId="0" xfId="0" applyFont="1" applyBorder="1"/>
    <xf numFmtId="0" fontId="6" fillId="0" borderId="0" xfId="6" applyFont="1" applyBorder="1" applyAlignment="1" applyProtection="1">
      <alignment horizontal="left"/>
    </xf>
    <xf numFmtId="0" fontId="6" fillId="0" borderId="0" xfId="6" applyFont="1" applyBorder="1" applyAlignment="1" applyProtection="1"/>
    <xf numFmtId="0" fontId="1" fillId="0" borderId="0" xfId="0" applyFont="1" applyFill="1" applyBorder="1"/>
    <xf numFmtId="0" fontId="0" fillId="0" borderId="0" xfId="0" applyFont="1" applyFill="1" applyBorder="1"/>
    <xf numFmtId="0" fontId="0" fillId="0" borderId="0" xfId="0" applyFont="1" applyBorder="1"/>
    <xf numFmtId="0" fontId="1" fillId="0" borderId="0" xfId="0" applyFont="1" applyFill="1" applyBorder="1" applyAlignment="1"/>
    <xf numFmtId="0" fontId="4" fillId="3" borderId="0" xfId="0" applyFont="1" applyFill="1" applyBorder="1"/>
    <xf numFmtId="0" fontId="0" fillId="0" borderId="0" xfId="0" applyFill="1" applyBorder="1"/>
    <xf numFmtId="176" fontId="0" fillId="0" borderId="0" xfId="1" applyNumberFormat="1" applyFont="1" applyBorder="1" applyAlignment="1">
      <alignment horizontal="center"/>
    </xf>
    <xf numFmtId="176" fontId="1" fillId="0" borderId="0" xfId="1" applyNumberFormat="1" applyFont="1" applyBorder="1" applyAlignment="1">
      <alignment horizontal="center"/>
    </xf>
    <xf numFmtId="176" fontId="0" fillId="0" borderId="0" xfId="1" applyNumberFormat="1" applyFont="1" applyBorder="1"/>
    <xf numFmtId="9" fontId="1" fillId="0" borderId="0" xfId="3" applyFont="1" applyBorder="1"/>
    <xf numFmtId="0" fontId="2" fillId="0" borderId="0" xfId="0" applyFont="1" applyFill="1" applyBorder="1"/>
    <xf numFmtId="0" fontId="7" fillId="0" borderId="0" xfId="0" applyFont="1" applyFill="1" applyBorder="1" applyAlignment="1"/>
    <xf numFmtId="0" fontId="4" fillId="3" borderId="0" xfId="0" applyFont="1" applyFill="1" applyBorder="1" applyAlignment="1">
      <alignment horizontal="center"/>
    </xf>
    <xf numFmtId="9" fontId="0" fillId="0" borderId="0" xfId="1" applyNumberFormat="1" applyFont="1" applyBorder="1"/>
    <xf numFmtId="176" fontId="4" fillId="4" borderId="0" xfId="28" applyNumberFormat="1" applyFont="1" applyBorder="1"/>
    <xf numFmtId="176" fontId="4" fillId="5" borderId="0" xfId="36" applyNumberFormat="1" applyFont="1" applyBorder="1"/>
    <xf numFmtId="10" fontId="0" fillId="0" borderId="0" xfId="0" applyNumberFormat="1" applyFont="1" applyBorder="1"/>
    <xf numFmtId="10" fontId="1" fillId="0" borderId="0" xfId="0" applyNumberFormat="1" applyFont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4">
    <dxf>
      <font>
        <name val="Calibri"/>
        <scheme val="none"/>
        <b val="0"/>
        <i val="0"/>
        <strike val="0"/>
        <u val="none"/>
        <sz val="11"/>
        <color theme="1"/>
      </font>
    </dxf>
    <dxf>
      <font>
        <name val="Calibri"/>
        <scheme val="none"/>
        <b val="0"/>
        <i val="0"/>
        <strike val="0"/>
        <u val="none"/>
        <sz val="11"/>
        <color theme="1"/>
      </font>
    </dxf>
    <dxf>
      <font>
        <name val="Calibri"/>
        <scheme val="none"/>
        <b val="0"/>
        <i val="0"/>
        <strike val="0"/>
        <u val="none"/>
        <sz val="11"/>
        <color theme="1"/>
      </font>
    </dxf>
    <dxf>
      <font>
        <b val="1"/>
        <i val="0"/>
        <color theme="0"/>
      </font>
      <fill>
        <patternFill patternType="solid">
          <bgColor theme="5"/>
        </patternFill>
      </fill>
    </dxf>
  </dxfs>
  <tableStyles count="0" defaultTableStyle="TableStyleMedium9" defaultPivotStyle="PivotStyleLight16"/>
  <colors>
    <mruColors>
      <color rgb="000275D8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3" Type="http://schemas.microsoft.com/office/2011/relationships/chartColorStyle" Target="colors1.xml"/><Relationship Id="rId2" Type="http://schemas.microsoft.com/office/2011/relationships/chartStyle" Target="style1.xml"/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0" vertOverflow="ellipsis" vert="horz" wrap="square" anchor="ctr" anchorCtr="1" forceAA="0"/>
          <a:lstStyle/>
          <a:p>
            <a:pPr>
              <a:defRPr lang="zh-CN" sz="1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  <a:sym typeface="Microsoft YaHei" panose="020B0503020204020204" pitchFamily="34" charset="-122"/>
              </a:defRPr>
            </a:pPr>
            <a:r>
              <a:rPr>
                <a:solidFill>
                  <a:schemeClr val="tx1"/>
                </a:solidFill>
                <a:latin typeface="+mn-lt"/>
                <a:ea typeface="+mn-ea"/>
                <a:cs typeface="+mn-cs"/>
              </a:rPr>
              <a:t>Honasa Consumer — Revenue vs Net Profit FY21-FY25</a:t>
            </a:r>
            <a:endParaRPr>
              <a:solidFill>
                <a:schemeClr val="tx1"/>
              </a:solidFill>
              <a:latin typeface="+mn-lt"/>
              <a:ea typeface="+mn-ea"/>
              <a:cs typeface="+mn-cs"/>
            </a:endParaRPr>
          </a:p>
        </c:rich>
      </c:tx>
      <c:layout/>
      <c:overlay val="0"/>
      <c:spPr>
        <a:noFill/>
        <a:ln w="25400" cap="flat" cmpd="sng" algn="ctr">
          <a:solidFill>
            <a:srgbClr val="FFFF00"/>
          </a:solidFill>
          <a:prstDash val="solid"/>
        </a:ln>
        <a:effectLst/>
        <a:sp3d>
          <a:extrusionClr>
            <a:srgbClr val="FFFFFF"/>
          </a:extrusionClr>
          <a:contourClr>
            <a:srgbClr val="FFFFFF"/>
          </a:contourClr>
        </a:sp3d>
      </c:sp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"Revenue"</c:f>
              <c:strCache>
                <c:ptCount val="1"/>
                <c:pt idx="0">
                  <c:v>Revenue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cat>
            <c:numRef>
              <c:f>'Data Sheet'!$G$16:$K$16</c:f>
              <c:numCache>
                <c:formatCode>[$-409]mmm/yy;@</c:formatCode>
                <c:ptCount val="5"/>
                <c:pt idx="0" c:formatCode="[$-409]mmm/yy;@">
                  <c:v>44286</c:v>
                </c:pt>
                <c:pt idx="1" c:formatCode="[$-409]mmm/yy;@">
                  <c:v>44651</c:v>
                </c:pt>
                <c:pt idx="2" c:formatCode="[$-409]mmm/yy;@">
                  <c:v>45016</c:v>
                </c:pt>
                <c:pt idx="3" c:formatCode="[$-409]mmm/yy;@">
                  <c:v>45382</c:v>
                </c:pt>
                <c:pt idx="4" c:formatCode="[$-409]mmm/yy;@">
                  <c:v>45747</c:v>
                </c:pt>
              </c:numCache>
            </c:numRef>
          </c:cat>
          <c:val>
            <c:numRef>
              <c:f>'Data Sheet'!$G$17:$K$17</c:f>
              <c:numCache>
                <c:formatCode>General</c:formatCode>
                <c:ptCount val="5"/>
                <c:pt idx="0">
                  <c:v>459.99</c:v>
                </c:pt>
                <c:pt idx="1">
                  <c:v>943.47</c:v>
                </c:pt>
                <c:pt idx="2">
                  <c:v>1492.75</c:v>
                </c:pt>
                <c:pt idx="3">
                  <c:v>1919.9</c:v>
                </c:pt>
                <c:pt idx="4">
                  <c:v>2066.95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'Data Sheet'!$G$17:$K$17</c:f>
              <c:strCache>
                <c:ptCount val="1"/>
                <c:pt idx="0">
                  <c:v>459.99 943.47 1492.75 1919.9 2066.95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cat>
            <c:numRef>
              <c:f>'Data Sheet'!$G$16:$K$16</c:f>
              <c:numCache>
                <c:formatCode>[$-409]mmm/yy;@</c:formatCode>
                <c:ptCount val="5"/>
                <c:pt idx="0" c:formatCode="[$-409]mmm/yy;@">
                  <c:v>44286</c:v>
                </c:pt>
                <c:pt idx="1" c:formatCode="[$-409]mmm/yy;@">
                  <c:v>44651</c:v>
                </c:pt>
                <c:pt idx="2" c:formatCode="[$-409]mmm/yy;@">
                  <c:v>45016</c:v>
                </c:pt>
                <c:pt idx="3" c:formatCode="[$-409]mmm/yy;@">
                  <c:v>45382</c:v>
                </c:pt>
                <c:pt idx="4" c:formatCode="[$-409]mmm/yy;@">
                  <c:v>45747</c:v>
                </c:pt>
              </c:numCache>
            </c:numRef>
          </c:cat>
          <c:val>
            <c:numRef>
              <c:f>{2}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04018675"/>
        <c:axId val="426273294"/>
      </c:lineChart>
      <c:dateAx>
        <c:axId val="304018675"/>
        <c:scaling>
          <c:orientation val="minMax"/>
        </c:scaling>
        <c:delete val="0"/>
        <c:axPos val="b"/>
        <c:majorGridlines>
          <c:spPr>
            <a:ln w="6350" cap="flat" cmpd="sng" algn="ctr">
              <a:solidFill>
                <a:schemeClr val="tx1">
                  <a:lumMod val="50000"/>
                  <a:lumOff val="50000"/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6350" cap="flat" cmpd="sng" algn="ctr">
            <a:solidFill>
              <a:schemeClr val="tx1">
                <a:lumMod val="50000"/>
                <a:lumOff val="50000"/>
                <a:alpha val="2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</a:p>
        </c:txPr>
        <c:crossAx val="426273294"/>
        <c:crosses val="autoZero"/>
        <c:auto val="1"/>
        <c:lblOffset val="100"/>
        <c:baseTimeUnit val="years"/>
      </c:dateAx>
      <c:valAx>
        <c:axId val="426273294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chemeClr val="tx1">
                  <a:lumMod val="50000"/>
                  <a:lumOff val="50000"/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</a:p>
        </c:txPr>
        <c:crossAx val="3040186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 forceAA="0"/>
        <a:lstStyle/>
        <a:p>
          <a:pPr>
            <a:defRPr lang="zh-CN" sz="900" b="0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Microsoft YaHei" panose="020B0503020204020204" pitchFamily="34" charset="-122"/>
              <a:ea typeface="Microsoft YaHei" panose="020B0503020204020204" pitchFamily="34" charset="-122"/>
              <a:cs typeface="Microsoft YaHei" panose="020B0503020204020204" pitchFamily="34" charset="-122"/>
              <a:sym typeface="Microsoft YaHei" panose="020B0503020204020204" pitchFamily="34" charset="-122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6350" cap="flat" cmpd="sng" algn="ctr">
      <a:solidFill>
        <a:schemeClr val="tx1">
          <a:lumMod val="50000"/>
          <a:lumOff val="50000"/>
          <a:alpha val="2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6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17</xdr:col>
      <xdr:colOff>492125</xdr:colOff>
      <xdr:row>7</xdr:row>
      <xdr:rowOff>74295</xdr:rowOff>
    </xdr:from>
    <xdr:to>
      <xdr:col>29</xdr:col>
      <xdr:colOff>348615</xdr:colOff>
      <xdr:row>29</xdr:row>
      <xdr:rowOff>182880</xdr:rowOff>
    </xdr:to>
    <xdr:graphicFrame>
      <xdr:nvGraphicFramePr>
        <xdr:cNvPr id="3" name="Chart 2" descr="7b0a202020202263686172745265734964223a20223230343638373831220a7d0a"/>
        <xdr:cNvGraphicFramePr/>
      </xdr:nvGraphicFramePr>
      <xdr:xfrm>
        <a:off x="15835630" y="1363345"/>
        <a:ext cx="7263130" cy="415988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Annual" displayName="Annual" ref="A3:N19" headerRowCount="0" totalsRowShown="0">
  <tableColumns count="14">
    <tableColumn id="1" name="Column1" dataDxfId="0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 dataDxfId="1"/>
    <tableColumn id="14" name="Column14" dataDxfId="2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>
  <tableColumns count="11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tile tx="0" ty="0" sx="32000" sy="32000" flip="none" algn="tl"/>
        </a:blipFill>
      </a:bgFillStyleLst>
    </a:fmtScheme>
  </a:themeElements>
  <a:objectDefaults/>
</a:theme>
</file>

<file path=xl/theme/themeOverride1.xml><?xml version="1.0" encoding="utf-8"?>
<a:themeOverride xmlns:a="http://schemas.openxmlformats.org/drawingml/2006/main">
  <a:clrScheme name="WPS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874CB"/>
    </a:accent1>
    <a:accent2>
      <a:srgbClr val="EE822F"/>
    </a:accent2>
    <a:accent3>
      <a:srgbClr val="F2BA02"/>
    </a:accent3>
    <a:accent4>
      <a:srgbClr val="75BD42"/>
    </a:accent4>
    <a:accent5>
      <a:srgbClr val="30C0B4"/>
    </a:accent5>
    <a:accent6>
      <a:srgbClr val="E54C5E"/>
    </a:accent6>
    <a:hlink>
      <a:srgbClr val="0026E5"/>
    </a:hlink>
    <a:folHlink>
      <a:srgbClr val="7E1FAD"/>
    </a:folHlink>
  </a:clrScheme>
  <a:fontScheme name="WPS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WPS">
    <a:fillStyleLst>
      <a:solidFill>
        <a:schemeClr val="phClr"/>
      </a:solidFill>
      <a:gradFill>
        <a:gsLst>
          <a:gs pos="0">
            <a:schemeClr val="phClr">
              <a:lumOff val="17500"/>
            </a:schemeClr>
          </a:gs>
          <a:gs pos="100000">
            <a:schemeClr val="phClr"/>
          </a:gs>
        </a:gsLst>
        <a:lin ang="2700000" scaled="0"/>
      </a:gradFill>
      <a:gradFill>
        <a:gsLst>
          <a:gs pos="0">
            <a:schemeClr val="phClr">
              <a:hueOff val="-2520000"/>
            </a:schemeClr>
          </a:gs>
          <a:gs pos="100000">
            <a:schemeClr val="phClr"/>
          </a:gs>
        </a:gsLst>
        <a:lin ang="27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gradFill>
          <a:gsLst>
            <a:gs pos="0">
              <a:schemeClr val="phClr">
                <a:hueOff val="-4200000"/>
              </a:schemeClr>
            </a:gs>
            <a:gs pos="100000">
              <a:schemeClr val="phClr"/>
            </a:gs>
          </a:gsLst>
          <a:lin ang="2700000" scaled="1"/>
        </a:gradFill>
        <a:prstDash val="solid"/>
        <a:miter lim="800000"/>
      </a:ln>
    </a:lnStyleLst>
    <a:effectStyleLst>
      <a:effectStyle>
        <a:effectLst>
          <a:outerShdw blurRad="101600" dist="50800" dir="5400000" algn="ctr" rotWithShape="0">
            <a:schemeClr val="phClr">
              <a:alpha val="60000"/>
            </a:schemeClr>
          </a:outerShdw>
        </a:effectLst>
      </a:effectStyle>
      <a:effectStyle>
        <a:effectLst>
          <a:reflection stA="50000" endA="300" endPos="40000" dist="25400" dir="5400000" sy="-100000" algn="bl" rotWithShape="0"/>
        </a:effectLst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://www.screener.in/" TargetMode="Externa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://www.screener.in/" TargetMode="External"/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screener.in/excel/" TargetMode="Externa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>
    <pageSetUpPr fitToPage="1"/>
  </sheetPr>
  <dimension ref="A1:N25"/>
  <sheetViews>
    <sheetView zoomScale="120" zoomScaleNormal="120" zoomScalePageLayoutView="120" workbookViewId="0">
      <pane xSplit="1" ySplit="4" topLeftCell="H23" activePane="bottomRight" state="frozen"/>
      <selection/>
      <selection pane="topRight"/>
      <selection pane="bottomLeft"/>
      <selection pane="bottomRight" activeCell="M15" sqref="M15"/>
    </sheetView>
  </sheetViews>
  <sheetFormatPr defaultColWidth="8.83636363636364" defaultRowHeight="14.5"/>
  <cols>
    <col min="1" max="1" width="20.6636363636364" style="20" customWidth="1"/>
    <col min="2" max="6" width="13.5" style="20" customWidth="1"/>
    <col min="7" max="7" width="14.8363636363636" style="20" customWidth="1"/>
    <col min="8" max="11" width="13.5" style="20" customWidth="1"/>
    <col min="12" max="12" width="13.3363636363636" style="20" customWidth="1"/>
    <col min="13" max="14" width="12.1636363636364" style="20" customWidth="1"/>
    <col min="15" max="16384" width="8.83636363636364" style="20"/>
  </cols>
  <sheetData>
    <row r="1" s="12" customFormat="1" spans="1:14">
      <c r="A1" s="12" t="str">
        <f>'Data Sheet'!B1</f>
        <v/>
      </c>
      <c r="H1" t="str">
        <f>UPDATE</f>
        <v/>
      </c>
      <c r="J1" s="29"/>
      <c r="K1" s="29"/>
      <c r="M1" s="12" t="s">
        <v>0</v>
      </c>
    </row>
    <row r="3" s="18" customFormat="1" spans="1:14">
      <c r="A3" s="22" t="s">
        <v>1</v>
      </c>
      <c r="B3" s="7">
        <f>'Data Sheet'!B16</f>
        <v>0</v>
      </c>
      <c r="C3" s="7">
        <f>'Data Sheet'!C16</f>
        <v>0</v>
      </c>
      <c r="D3" s="7">
        <f>'Data Sheet'!D16</f>
        <v>0</v>
      </c>
      <c r="E3" s="7">
        <f>'Data Sheet'!E16</f>
        <v>0</v>
      </c>
      <c r="F3" s="7">
        <f>'Data Sheet'!F16</f>
        <v>0</v>
      </c>
      <c r="G3" s="7">
        <f>'Data Sheet'!G16</f>
        <v>44286</v>
      </c>
      <c r="H3" s="7">
        <f>'Data Sheet'!H16</f>
        <v>44651</v>
      </c>
      <c r="I3" s="7">
        <f>'Data Sheet'!I16</f>
        <v>45016</v>
      </c>
      <c r="J3" s="7">
        <f>'Data Sheet'!J16</f>
        <v>45382</v>
      </c>
      <c r="K3" s="7">
        <f>'Data Sheet'!K16</f>
        <v>45747</v>
      </c>
      <c r="L3" s="30" t="s">
        <v>2</v>
      </c>
      <c r="M3" s="30" t="s">
        <v>3</v>
      </c>
      <c r="N3" s="30" t="s">
        <v>4</v>
      </c>
    </row>
    <row r="4" s="12" customFormat="1" spans="1:14">
      <c r="A4" s="12" t="s">
        <v>5</v>
      </c>
      <c r="B4" s="1">
        <f>'Data Sheet'!B17</f>
        <v>0</v>
      </c>
      <c r="C4" s="1">
        <f>'Data Sheet'!C17</f>
        <v>0</v>
      </c>
      <c r="D4" s="1">
        <f>'Data Sheet'!D17</f>
        <v>0</v>
      </c>
      <c r="E4" s="1">
        <f>'Data Sheet'!E17</f>
        <v>0</v>
      </c>
      <c r="F4" s="1">
        <f>'Data Sheet'!F17</f>
        <v>0</v>
      </c>
      <c r="G4" s="1">
        <f>'Data Sheet'!G17</f>
        <v>459.99</v>
      </c>
      <c r="H4" s="1">
        <f>'Data Sheet'!H17</f>
        <v>943.47</v>
      </c>
      <c r="I4" s="1">
        <f>'Data Sheet'!I17</f>
        <v>1492.75</v>
      </c>
      <c r="J4" s="1">
        <f>'Data Sheet'!J17</f>
        <v>1919.9</v>
      </c>
      <c r="K4" s="1">
        <f>'Data Sheet'!K17</f>
        <v>2066.95</v>
      </c>
      <c r="L4" s="1">
        <f>SUM(Quarters!H4:K4)</f>
        <v>2268.41</v>
      </c>
      <c r="M4" s="1">
        <f>$K4+M23*K4</f>
        <v>2684.50322281656</v>
      </c>
      <c r="N4" s="1">
        <f>$K4+N23*L4</f>
        <v>2288.04575877501</v>
      </c>
    </row>
    <row r="5" spans="1:14">
      <c r="A5" s="20" t="s">
        <v>6</v>
      </c>
      <c r="B5" s="3">
        <f>SUM('Data Sheet'!B18,'Data Sheet'!B20:B24,-1*'Data Sheet'!B19)</f>
        <v>0</v>
      </c>
      <c r="C5" s="3">
        <f>SUM('Data Sheet'!C18,'Data Sheet'!C20:C24,-1*'Data Sheet'!C19)</f>
        <v>0</v>
      </c>
      <c r="D5" s="3">
        <f>SUM('Data Sheet'!D18,'Data Sheet'!D20:D24,-1*'Data Sheet'!D19)</f>
        <v>0</v>
      </c>
      <c r="E5" s="3">
        <f>SUM('Data Sheet'!E18,'Data Sheet'!E20:E24,-1*'Data Sheet'!E19)</f>
        <v>0</v>
      </c>
      <c r="F5" s="3">
        <f>SUM('Data Sheet'!F18,'Data Sheet'!F20:F24,-1*'Data Sheet'!F19)</f>
        <v>0</v>
      </c>
      <c r="G5" s="3">
        <f>SUM('Data Sheet'!G18,'Data Sheet'!G20:G24,-1*'Data Sheet'!G19)</f>
        <v>1794.01</v>
      </c>
      <c r="H5" s="3">
        <f>SUM('Data Sheet'!H18,'Data Sheet'!H20:H24,-1*'Data Sheet'!H19)</f>
        <v>931.97</v>
      </c>
      <c r="I5" s="3">
        <f>SUM('Data Sheet'!I18,'Data Sheet'!I20:I24,-1*'Data Sheet'!I19)</f>
        <v>1469.99</v>
      </c>
      <c r="J5" s="3">
        <f>SUM('Data Sheet'!J18,'Data Sheet'!J20:J24,-1*'Data Sheet'!J19)</f>
        <v>1781.67</v>
      </c>
      <c r="K5" s="3">
        <f>SUM('Data Sheet'!K18,'Data Sheet'!K20:K24,-1*'Data Sheet'!K19)</f>
        <v>1998.41</v>
      </c>
      <c r="L5" s="3">
        <f>SUM(Quarters!H5:K5)</f>
        <v>2082.5</v>
      </c>
      <c r="M5" s="3">
        <f t="shared" ref="M5:N5" si="0">M4-M6</f>
        <v>2464.49185178847</v>
      </c>
      <c r="N5" s="3">
        <f t="shared" si="0"/>
        <v>2207.92330317567</v>
      </c>
    </row>
    <row r="6" s="12" customFormat="1" spans="1:14">
      <c r="A6" s="12" t="s">
        <v>7</v>
      </c>
      <c r="B6" s="1">
        <f>B4-B5</f>
        <v>0</v>
      </c>
      <c r="C6" s="1">
        <f t="shared" ref="C6:K6" si="1">C4-C5</f>
        <v>0</v>
      </c>
      <c r="D6" s="1">
        <f t="shared" si="1"/>
        <v>0</v>
      </c>
      <c r="E6" s="1">
        <f t="shared" si="1"/>
        <v>0</v>
      </c>
      <c r="F6" s="1">
        <f t="shared" si="1"/>
        <v>0</v>
      </c>
      <c r="G6" s="1">
        <f t="shared" si="1"/>
        <v>-1334.02</v>
      </c>
      <c r="H6" s="1">
        <f t="shared" si="1"/>
        <v>11.5000000000001</v>
      </c>
      <c r="I6" s="1">
        <f t="shared" si="1"/>
        <v>22.76</v>
      </c>
      <c r="J6" s="1">
        <f t="shared" si="1"/>
        <v>138.23</v>
      </c>
      <c r="K6" s="1">
        <f t="shared" si="1"/>
        <v>68.54</v>
      </c>
      <c r="L6" s="1">
        <f>SUM(Quarters!H6:K6)</f>
        <v>185.91</v>
      </c>
      <c r="M6" s="1">
        <f>M4*M24</f>
        <v>220.011371028088</v>
      </c>
      <c r="N6" s="1">
        <f>N4*N24</f>
        <v>80.1224555993324</v>
      </c>
    </row>
    <row r="7" spans="1:14">
      <c r="A7" s="20" t="s">
        <v>8</v>
      </c>
      <c r="B7" s="3">
        <f>'Data Sheet'!B25</f>
        <v>0</v>
      </c>
      <c r="C7" s="3">
        <f>'Data Sheet'!C25</f>
        <v>0</v>
      </c>
      <c r="D7" s="3">
        <f>'Data Sheet'!D25</f>
        <v>0</v>
      </c>
      <c r="E7" s="3">
        <f>'Data Sheet'!E25</f>
        <v>0</v>
      </c>
      <c r="F7" s="3">
        <f>'Data Sheet'!F25</f>
        <v>0</v>
      </c>
      <c r="G7" s="3">
        <f>'Data Sheet'!G25</f>
        <v>12.1</v>
      </c>
      <c r="H7" s="3">
        <f>'Data Sheet'!H25</f>
        <v>20.84</v>
      </c>
      <c r="I7" s="3">
        <f>'Data Sheet'!I25</f>
        <v>-132.18</v>
      </c>
      <c r="J7" s="3">
        <f>'Data Sheet'!J25</f>
        <v>48.6</v>
      </c>
      <c r="K7" s="3">
        <f>'Data Sheet'!K25</f>
        <v>78.73</v>
      </c>
      <c r="L7" s="3">
        <f>SUM(Quarters!H7:K7)</f>
        <v>80.69</v>
      </c>
      <c r="M7" s="3">
        <v>0</v>
      </c>
      <c r="N7" s="3">
        <v>0</v>
      </c>
    </row>
    <row r="8" spans="1:14">
      <c r="A8" s="20" t="s">
        <v>9</v>
      </c>
      <c r="B8" s="3">
        <f>'Data Sheet'!B26</f>
        <v>0</v>
      </c>
      <c r="C8" s="3">
        <f>'Data Sheet'!C26</f>
        <v>0</v>
      </c>
      <c r="D8" s="3">
        <f>'Data Sheet'!D26</f>
        <v>0</v>
      </c>
      <c r="E8" s="3">
        <f>'Data Sheet'!E26</f>
        <v>0</v>
      </c>
      <c r="F8" s="3">
        <f>'Data Sheet'!F26</f>
        <v>0</v>
      </c>
      <c r="G8" s="3">
        <f>'Data Sheet'!G26</f>
        <v>1.71</v>
      </c>
      <c r="H8" s="3">
        <f>'Data Sheet'!H26</f>
        <v>6.9</v>
      </c>
      <c r="I8" s="3">
        <f>'Data Sheet'!I26</f>
        <v>24.96</v>
      </c>
      <c r="J8" s="3">
        <f>'Data Sheet'!J26</f>
        <v>30.62</v>
      </c>
      <c r="K8" s="3">
        <f>'Data Sheet'!K26</f>
        <v>45.01</v>
      </c>
      <c r="L8" s="3">
        <f>SUM(Quarters!H8:K8)</f>
        <v>46.02</v>
      </c>
      <c r="M8" s="3">
        <f>+$L8</f>
        <v>46.02</v>
      </c>
      <c r="N8" s="3">
        <f>+$L8</f>
        <v>46.02</v>
      </c>
    </row>
    <row r="9" spans="1:14">
      <c r="A9" s="20" t="s">
        <v>10</v>
      </c>
      <c r="B9" s="3">
        <f>'Data Sheet'!B27</f>
        <v>0</v>
      </c>
      <c r="C9" s="3">
        <f>'Data Sheet'!C27</f>
        <v>0</v>
      </c>
      <c r="D9" s="3">
        <f>'Data Sheet'!D27</f>
        <v>0</v>
      </c>
      <c r="E9" s="3">
        <f>'Data Sheet'!E27</f>
        <v>0</v>
      </c>
      <c r="F9" s="3">
        <f>'Data Sheet'!F27</f>
        <v>0</v>
      </c>
      <c r="G9" s="3">
        <f>'Data Sheet'!G27</f>
        <v>0.98</v>
      </c>
      <c r="H9" s="3">
        <f>'Data Sheet'!H27</f>
        <v>3.01</v>
      </c>
      <c r="I9" s="3">
        <f>'Data Sheet'!I27</f>
        <v>6.66</v>
      </c>
      <c r="J9" s="3">
        <f>'Data Sheet'!J27</f>
        <v>9.04</v>
      </c>
      <c r="K9" s="3">
        <f>'Data Sheet'!K27</f>
        <v>12.65</v>
      </c>
      <c r="L9" s="3">
        <f>SUM(Quarters!H9:K9)</f>
        <v>12.98</v>
      </c>
      <c r="M9" s="3">
        <f>+$L9</f>
        <v>12.98</v>
      </c>
      <c r="N9" s="3">
        <f>+$L9</f>
        <v>12.98</v>
      </c>
    </row>
    <row r="10" spans="1:14">
      <c r="A10" s="20" t="s">
        <v>11</v>
      </c>
      <c r="B10" s="3">
        <f>'Data Sheet'!B28</f>
        <v>0</v>
      </c>
      <c r="C10" s="3">
        <f>'Data Sheet'!C28</f>
        <v>0</v>
      </c>
      <c r="D10" s="3">
        <f>'Data Sheet'!D28</f>
        <v>0</v>
      </c>
      <c r="E10" s="3">
        <f>'Data Sheet'!E28</f>
        <v>0</v>
      </c>
      <c r="F10" s="3">
        <f>'Data Sheet'!F28</f>
        <v>0</v>
      </c>
      <c r="G10" s="3">
        <f>'Data Sheet'!G28</f>
        <v>-1324.61</v>
      </c>
      <c r="H10" s="3">
        <f>'Data Sheet'!H28</f>
        <v>22.43</v>
      </c>
      <c r="I10" s="3">
        <f>'Data Sheet'!I28</f>
        <v>-141.04</v>
      </c>
      <c r="J10" s="3">
        <f>'Data Sheet'!J28</f>
        <v>147.17</v>
      </c>
      <c r="K10" s="3">
        <f>'Data Sheet'!K28</f>
        <v>89.61</v>
      </c>
      <c r="L10" s="3">
        <f>SUM(Quarters!H10:K10)</f>
        <v>207.6</v>
      </c>
      <c r="M10" s="3">
        <f>M6+M7-SUM(M8:M9)</f>
        <v>161.011371028088</v>
      </c>
      <c r="N10" s="3">
        <f>N6+N7-SUM(N8:N9)</f>
        <v>21.1224555993324</v>
      </c>
    </row>
    <row r="11" spans="1:14">
      <c r="A11" s="20" t="s">
        <v>12</v>
      </c>
      <c r="B11" s="3">
        <f>'Data Sheet'!B29</f>
        <v>0</v>
      </c>
      <c r="C11" s="3">
        <f>'Data Sheet'!C29</f>
        <v>0</v>
      </c>
      <c r="D11" s="3">
        <f>'Data Sheet'!D29</f>
        <v>0</v>
      </c>
      <c r="E11" s="3">
        <f>'Data Sheet'!E29</f>
        <v>0</v>
      </c>
      <c r="F11" s="3">
        <f>'Data Sheet'!F29</f>
        <v>0</v>
      </c>
      <c r="G11" s="3">
        <f>'Data Sheet'!G29</f>
        <v>7.61</v>
      </c>
      <c r="H11" s="3">
        <f>'Data Sheet'!H29</f>
        <v>8</v>
      </c>
      <c r="I11" s="3">
        <f>'Data Sheet'!I29</f>
        <v>9.93</v>
      </c>
      <c r="J11" s="3">
        <f>'Data Sheet'!J29</f>
        <v>36.6</v>
      </c>
      <c r="K11" s="3">
        <f>'Data Sheet'!K29</f>
        <v>16.93</v>
      </c>
      <c r="L11" s="3">
        <f>SUM(Quarters!H11:K11)</f>
        <v>51.86</v>
      </c>
      <c r="M11" s="31">
        <f>IF($L10&gt;0,$L11/$L10,0)</f>
        <v>0.24980732177264</v>
      </c>
      <c r="N11" s="31">
        <f>IF($L10&gt;0,$L11/$L10,0)</f>
        <v>0.24980732177264</v>
      </c>
    </row>
    <row r="12" s="12" customFormat="1" spans="1:14">
      <c r="A12" s="12" t="s">
        <v>13</v>
      </c>
      <c r="B12" s="1">
        <f>'Data Sheet'!B30</f>
        <v>0</v>
      </c>
      <c r="C12" s="1">
        <f>'Data Sheet'!C30</f>
        <v>0</v>
      </c>
      <c r="D12" s="1">
        <f>'Data Sheet'!D30</f>
        <v>0</v>
      </c>
      <c r="E12" s="1">
        <f>'Data Sheet'!E30</f>
        <v>0</v>
      </c>
      <c r="F12" s="1">
        <f>'Data Sheet'!F30</f>
        <v>0</v>
      </c>
      <c r="G12" s="1">
        <f>'Data Sheet'!G30</f>
        <v>-1332.22</v>
      </c>
      <c r="H12" s="1">
        <f>'Data Sheet'!H30</f>
        <v>15.72</v>
      </c>
      <c r="I12" s="1">
        <f>'Data Sheet'!I30</f>
        <v>-142.81</v>
      </c>
      <c r="J12" s="1">
        <f>'Data Sheet'!J30</f>
        <v>111.82</v>
      </c>
      <c r="K12" s="1">
        <f>'Data Sheet'!K30</f>
        <v>72.69</v>
      </c>
      <c r="L12" s="1">
        <f>SUM(Quarters!H12:K12)</f>
        <v>155.74</v>
      </c>
      <c r="M12" s="1">
        <f>M10-M11*M10</f>
        <v>120.789551656621</v>
      </c>
      <c r="N12" s="1">
        <f>N10-N11*N10</f>
        <v>15.8459115368016</v>
      </c>
    </row>
    <row r="13" spans="1:14">
      <c r="A13" s="13" t="s">
        <v>14</v>
      </c>
      <c r="B13" s="3">
        <f>IF('Data Sheet'!B93&gt;0,B12/'Data Sheet'!B93,0)</f>
        <v>0</v>
      </c>
      <c r="C13" s="3">
        <f>IF('Data Sheet'!C93&gt;0,C12/'Data Sheet'!C93,0)</f>
        <v>0</v>
      </c>
      <c r="D13" s="3">
        <f>IF('Data Sheet'!D93&gt;0,D12/'Data Sheet'!D93,0)</f>
        <v>0</v>
      </c>
      <c r="E13" s="3">
        <f>IF('Data Sheet'!E93&gt;0,E12/'Data Sheet'!E93,0)</f>
        <v>0</v>
      </c>
      <c r="F13" s="3">
        <f>IF('Data Sheet'!F93&gt;0,F12/'Data Sheet'!F93,0)</f>
        <v>0</v>
      </c>
      <c r="G13" s="3">
        <f>IF('Data Sheet'!G93&gt;0,G12/'Data Sheet'!G93,0)</f>
        <v>-1266970.99381835</v>
      </c>
      <c r="H13" s="3">
        <f>IF('Data Sheet'!H93&gt;0,H12/'Data Sheet'!H93,0)</f>
        <v>14906.1255452304</v>
      </c>
      <c r="I13" s="3">
        <f>IF('Data Sheet'!I93&gt;0,I12/'Data Sheet'!I93,0)</f>
        <v>-10.4776228906823</v>
      </c>
      <c r="J13" s="3">
        <f>IF('Data Sheet'!J93&gt;0,J12/'Data Sheet'!J93,0)</f>
        <v>3.449105490438</v>
      </c>
      <c r="K13" s="3">
        <f>IF('Data Sheet'!K93&gt;0,K12/'Data Sheet'!K93,0)</f>
        <v>2.23523985239852</v>
      </c>
      <c r="L13" s="3">
        <f>IF('Data Sheet'!$B6&gt;0,'Profit &amp; Loss'!L12/'Data Sheet'!$B6,0)</f>
        <v>4.78655172930251</v>
      </c>
      <c r="M13" s="3">
        <f>IF('Data Sheet'!$B6&gt;0,'Profit &amp; Loss'!M12/'Data Sheet'!$B6,0)</f>
        <v>3.71237599437314</v>
      </c>
      <c r="N13" s="3">
        <f>IF('Data Sheet'!$B6&gt;0,'Profit &amp; Loss'!N12/'Data Sheet'!$B6,0)</f>
        <v>0.487012169441713</v>
      </c>
    </row>
    <row r="14" spans="1:14">
      <c r="A14" s="20" t="s">
        <v>15</v>
      </c>
      <c r="B14" s="3" t="str">
        <f>IF(B15&gt;0,B15/B13,"")</f>
        <v/>
      </c>
      <c r="C14" s="3" t="str">
        <f t="shared" ref="C14:K14" si="2">IF(C15&gt;0,C15/C13,"")</f>
        <v/>
      </c>
      <c r="D14" s="3" t="str">
        <f t="shared" si="2"/>
        <v/>
      </c>
      <c r="E14" s="3" t="str">
        <f t="shared" si="2"/>
        <v/>
      </c>
      <c r="F14" s="3" t="str">
        <f t="shared" si="2"/>
        <v/>
      </c>
      <c r="G14" s="3" t="str">
        <f t="shared" si="2"/>
        <v/>
      </c>
      <c r="H14" s="3" t="str">
        <f t="shared" si="2"/>
        <v/>
      </c>
      <c r="I14" s="3" t="str">
        <f t="shared" si="2"/>
        <v/>
      </c>
      <c r="J14" s="3">
        <f t="shared" si="2"/>
        <v>116.667930602754</v>
      </c>
      <c r="K14" s="3">
        <f t="shared" si="2"/>
        <v>103.729360297152</v>
      </c>
      <c r="L14" s="3">
        <f t="shared" ref="L14" si="3">IF(L13&gt;0,L15/L13,0)</f>
        <v>72.8812764864518</v>
      </c>
      <c r="M14" s="3">
        <f>M25</f>
        <v>97.7595224621195</v>
      </c>
      <c r="N14" s="3">
        <f>N25</f>
        <v>72.8812764864518</v>
      </c>
    </row>
    <row r="15" s="12" customFormat="1" spans="1:14">
      <c r="A15" s="12" t="s">
        <v>16</v>
      </c>
      <c r="B15" s="1">
        <f>'Data Sheet'!B90</f>
        <v>0</v>
      </c>
      <c r="C15" s="1">
        <f>'Data Sheet'!C90</f>
        <v>0</v>
      </c>
      <c r="D15" s="1">
        <f>'Data Sheet'!D90</f>
        <v>0</v>
      </c>
      <c r="E15" s="1">
        <f>'Data Sheet'!E90</f>
        <v>0</v>
      </c>
      <c r="F15" s="1">
        <f>'Data Sheet'!F90</f>
        <v>0</v>
      </c>
      <c r="G15" s="1">
        <f>'Data Sheet'!G90</f>
        <v>0</v>
      </c>
      <c r="H15" s="1">
        <f>'Data Sheet'!H90</f>
        <v>0</v>
      </c>
      <c r="I15" s="1">
        <f>'Data Sheet'!I90</f>
        <v>0</v>
      </c>
      <c r="J15" s="1">
        <f>'Data Sheet'!J90</f>
        <v>402.4</v>
      </c>
      <c r="K15" s="1">
        <f>'Data Sheet'!K90</f>
        <v>231.86</v>
      </c>
      <c r="L15" s="1">
        <f>'Data Sheet'!B8</f>
        <v>348.85</v>
      </c>
      <c r="M15" s="32">
        <f>M13*M14</f>
        <v>362.920104409755</v>
      </c>
      <c r="N15" s="33">
        <f>N13*N14</f>
        <v>35.4940685733482</v>
      </c>
    </row>
    <row r="17" s="12" customFormat="1" spans="1:14">
      <c r="A17" s="12" t="s">
        <v>17</v>
      </c>
    </row>
    <row r="18" spans="1:14">
      <c r="A18" s="20" t="s">
        <v>18</v>
      </c>
      <c r="B18" s="34">
        <f>IF('Data Sheet'!B30&gt;0,'Data Sheet'!B31/'Data Sheet'!B30,0)</f>
        <v>0</v>
      </c>
      <c r="C18" s="34">
        <f>IF('Data Sheet'!C30&gt;0,'Data Sheet'!C31/'Data Sheet'!C30,0)</f>
        <v>0</v>
      </c>
      <c r="D18" s="34">
        <f>IF('Data Sheet'!D30&gt;0,'Data Sheet'!D31/'Data Sheet'!D30,0)</f>
        <v>0</v>
      </c>
      <c r="E18" s="34">
        <f>IF('Data Sheet'!E30&gt;0,'Data Sheet'!E31/'Data Sheet'!E30,0)</f>
        <v>0</v>
      </c>
      <c r="F18" s="34">
        <f>IF('Data Sheet'!F30&gt;0,'Data Sheet'!F31/'Data Sheet'!F30,0)</f>
        <v>0</v>
      </c>
      <c r="G18" s="34">
        <f>IF('Data Sheet'!G30&gt;0,'Data Sheet'!G31/'Data Sheet'!G30,0)</f>
        <v>0</v>
      </c>
      <c r="H18" s="34">
        <f>IF('Data Sheet'!H30&gt;0,'Data Sheet'!H31/'Data Sheet'!H30,0)</f>
        <v>0</v>
      </c>
      <c r="I18" s="34">
        <f>IF('Data Sheet'!I30&gt;0,'Data Sheet'!I31/'Data Sheet'!I30,0)</f>
        <v>0</v>
      </c>
      <c r="J18" s="34">
        <f>IF('Data Sheet'!J30&gt;0,'Data Sheet'!J31/'Data Sheet'!J30,0)</f>
        <v>0</v>
      </c>
      <c r="K18" s="34">
        <f>IF('Data Sheet'!K30&gt;0,'Data Sheet'!K31/'Data Sheet'!K30,0)</f>
        <v>0</v>
      </c>
    </row>
    <row r="19" spans="1:14">
      <c r="A19" s="20" t="s">
        <v>19</v>
      </c>
      <c r="B19" s="34">
        <f t="shared" ref="B19:L19" si="4">IF(B6&gt;0,B6/B4,0)</f>
        <v>0</v>
      </c>
      <c r="C19" s="34">
        <f t="shared" ref="C19:K19" si="5">IF(C6&gt;0,C6/C4,0)</f>
        <v>0</v>
      </c>
      <c r="D19" s="34">
        <f t="shared" si="5"/>
        <v>0</v>
      </c>
      <c r="E19" s="34">
        <f t="shared" si="5"/>
        <v>0</v>
      </c>
      <c r="F19" s="34">
        <f t="shared" si="5"/>
        <v>0</v>
      </c>
      <c r="G19" s="34">
        <f t="shared" si="5"/>
        <v>0</v>
      </c>
      <c r="H19" s="34">
        <f t="shared" si="5"/>
        <v>0.0121890468165391</v>
      </c>
      <c r="I19" s="34">
        <f t="shared" si="5"/>
        <v>0.0152470272986099</v>
      </c>
      <c r="J19" s="34">
        <f t="shared" si="5"/>
        <v>0.071998541590708</v>
      </c>
      <c r="K19" s="34">
        <f t="shared" si="5"/>
        <v>0.0331599700041123</v>
      </c>
      <c r="L19" s="34">
        <f t="shared" si="4"/>
        <v>0.0819560837767423</v>
      </c>
    </row>
    <row r="20" spans="1:14">
      <c r="B20" s="34"/>
      <c r="C20" s="34"/>
      <c r="D20" s="34"/>
      <c r="E20" s="34"/>
      <c r="F20" s="34"/>
      <c r="G20" s="34"/>
      <c r="H20" s="34"/>
      <c r="I20" s="34"/>
      <c r="J20" s="34"/>
      <c r="K20" s="34"/>
      <c r="L20" s="34"/>
    </row>
    <row r="21" spans="1:14">
      <c r="B21" s="34"/>
      <c r="C21" s="34"/>
      <c r="D21" s="34"/>
      <c r="E21" s="34"/>
      <c r="F21" s="34"/>
      <c r="G21" s="34"/>
      <c r="H21" s="34"/>
      <c r="I21" s="34"/>
      <c r="J21" s="34"/>
      <c r="K21" s="34"/>
      <c r="L21" s="34"/>
    </row>
    <row r="22" s="18" customFormat="1" spans="1:14">
      <c r="A22" s="22"/>
      <c r="B22" s="7"/>
      <c r="C22" s="7"/>
      <c r="D22" s="7"/>
      <c r="E22" s="7"/>
      <c r="F22" s="7"/>
      <c r="G22" s="7" t="s">
        <v>20</v>
      </c>
      <c r="H22" s="7" t="s">
        <v>21</v>
      </c>
      <c r="I22" s="7" t="s">
        <v>22</v>
      </c>
      <c r="J22" s="7" t="s">
        <v>23</v>
      </c>
      <c r="K22" s="7" t="s">
        <v>24</v>
      </c>
      <c r="L22" s="30" t="s">
        <v>25</v>
      </c>
      <c r="M22" s="30" t="s">
        <v>26</v>
      </c>
      <c r="N22" s="30" t="s">
        <v>27</v>
      </c>
    </row>
    <row r="23" s="12" customFormat="1" spans="1:14">
      <c r="A23" s="20"/>
      <c r="B23" s="20"/>
      <c r="C23" s="20"/>
      <c r="D23" s="20"/>
      <c r="E23" s="20"/>
      <c r="F23" s="20"/>
      <c r="G23" s="20" t="s">
        <v>28</v>
      </c>
      <c r="H23" s="34" t="str">
        <f>IF(B4=0,"",POWER($K4/B4,1/9)-1)</f>
        <v/>
      </c>
      <c r="I23" s="34" t="str">
        <f>IF(D4=0,"",POWER($K4/D4,1/7)-1)</f>
        <v/>
      </c>
      <c r="J23" s="34" t="str">
        <f>IF(F4=0,"",POWER($K4/F4,1/5)-1)</f>
        <v/>
      </c>
      <c r="K23" s="34">
        <f>IF(H4=0,"",POWER($K4/H4,1/3)-1)</f>
        <v>0.298775114451998</v>
      </c>
      <c r="L23" s="34">
        <f>IF(ISERROR(MAX(IF(J4=0,"",(K4-J4)/J4),IF(K4=0,"",(L4-K4)/K4))),"",MAX(IF(J4=0,"",(K4-J4)/J4),IF(K4=0,"",(L4-K4)/K4)))</f>
        <v>0.0974672827112412</v>
      </c>
      <c r="M23" s="35">
        <f>MAX(K23:L23)</f>
        <v>0.298775114451998</v>
      </c>
      <c r="N23" s="35">
        <f>MIN(H23:L23)</f>
        <v>0.0974672827112412</v>
      </c>
    </row>
    <row r="24" spans="1:14">
      <c r="G24" s="20" t="s">
        <v>19</v>
      </c>
      <c r="H24" s="34">
        <f>IF(SUM(B4:$K$4)=0,"",SUMPRODUCT(B19:$K$19,B4:$K$4)/SUM(B4:$K$4))</f>
        <v>0.0350178554305789</v>
      </c>
      <c r="I24" s="34">
        <f>IF(SUM(E4:$K$4)=0,"",SUMPRODUCT(E19:$K$19,E4:$K$4)/SUM(E4:$K$4))</f>
        <v>0.0350178554305789</v>
      </c>
      <c r="J24" s="34">
        <f>IF(SUM(G4:$K$4)=0,"",SUMPRODUCT(G19:$K$19,G4:$K$4)/SUM(G4:$K$4))</f>
        <v>0.0350178554305789</v>
      </c>
      <c r="K24" s="34">
        <f>IF(SUM(I4:$K$4)=0,"",SUMPRODUCT(I19:$K$19,I4:$K$4)/SUM(I4:$K$4))</f>
        <v>0.0418880940214615</v>
      </c>
      <c r="L24" s="34">
        <f>L19</f>
        <v>0.0819560837767423</v>
      </c>
      <c r="M24" s="35">
        <f>MAX(K24:L24)</f>
        <v>0.0819560837767423</v>
      </c>
      <c r="N24" s="35">
        <f>MIN(H24:L24)</f>
        <v>0.0350178554305789</v>
      </c>
    </row>
    <row r="25" spans="1:14">
      <c r="G25" s="20" t="s">
        <v>29</v>
      </c>
      <c r="H25" s="3">
        <f>IF(ISERROR(AVERAGEIF(B14:$L14,"&gt;0")),"",AVERAGEIF(B14:$L14,"&gt;0"))</f>
        <v>97.7595224621195</v>
      </c>
      <c r="I25" s="3">
        <f>IF(ISERROR(AVERAGEIF(E14:$L14,"&gt;0")),"",AVERAGEIF(E14:$L14,"&gt;0"))</f>
        <v>97.7595224621195</v>
      </c>
      <c r="J25" s="3">
        <f>IF(ISERROR(AVERAGEIF(G14:$L14,"&gt;0")),"",AVERAGEIF(G14:$L14,"&gt;0"))</f>
        <v>97.7595224621195</v>
      </c>
      <c r="K25" s="3">
        <f>IF(ISERROR(AVERAGEIF(I14:$L14,"&gt;0")),"",AVERAGEIF(I14:$L14,"&gt;0"))</f>
        <v>97.7595224621195</v>
      </c>
      <c r="L25" s="3">
        <f>L14</f>
        <v>72.8812764864518</v>
      </c>
      <c r="M25" s="1">
        <f>MAX(K25:L25)</f>
        <v>97.7595224621195</v>
      </c>
      <c r="N25" s="1">
        <f>MIN(H25:L25)</f>
        <v>72.8812764864518</v>
      </c>
    </row>
  </sheetData>
  <hyperlinks>
    <hyperlink ref="M1" r:id="rId2" display="SCREENER.IN"/>
  </hyperlinks>
  <printOptions gridLines="1"/>
  <pageMargins left="0.7" right="0.7" top="0.75" bottom="0.75" header="0.3" footer="0.3"/>
  <pageSetup paperSize="9" orientation="landscape" horizontalDpi="300" verticalDpi="300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>
    <pageSetUpPr fitToPage="1"/>
  </sheetPr>
  <dimension ref="A1:K22"/>
  <sheetViews>
    <sheetView zoomScale="150" zoomScaleNormal="150" workbookViewId="0">
      <pane xSplit="1" ySplit="3" topLeftCell="J14" activePane="bottomRight" state="frozen"/>
      <selection/>
      <selection pane="topRight"/>
      <selection pane="bottomLeft"/>
      <selection pane="bottomRight" activeCell="K5" sqref="K5"/>
    </sheetView>
  </sheetViews>
  <sheetFormatPr defaultColWidth="8.83636363636364" defaultRowHeight="14.5"/>
  <cols>
    <col min="1" max="1" width="20.6636363636364" style="20" customWidth="1"/>
    <col min="2" max="11" width="13.5" style="20" customWidth="1"/>
    <col min="12" max="16384" width="8.83636363636364" style="20"/>
  </cols>
  <sheetData>
    <row r="1" s="12" customFormat="1" spans="1:11">
      <c r="A1" s="12" t="str">
        <f>'Profit &amp; Loss'!A1</f>
        <v/>
      </c>
      <c r="E1" t="str">
        <f>UPDATE</f>
        <v/>
      </c>
      <c r="J1" s="21" t="s">
        <v>0</v>
      </c>
      <c r="K1" s="21"/>
    </row>
    <row r="3" s="18" customFormat="1" spans="1:11">
      <c r="A3" s="22" t="s">
        <v>1</v>
      </c>
      <c r="B3" s="7">
        <f>'Data Sheet'!B41</f>
        <v>45199</v>
      </c>
      <c r="C3" s="7">
        <f>'Data Sheet'!C41</f>
        <v>45291</v>
      </c>
      <c r="D3" s="7">
        <f>'Data Sheet'!D41</f>
        <v>45382</v>
      </c>
      <c r="E3" s="7">
        <f>'Data Sheet'!E41</f>
        <v>45473</v>
      </c>
      <c r="F3" s="7">
        <f>'Data Sheet'!F41</f>
        <v>45565</v>
      </c>
      <c r="G3" s="7">
        <f>'Data Sheet'!G41</f>
        <v>45657</v>
      </c>
      <c r="H3" s="7">
        <f>'Data Sheet'!H41</f>
        <v>45747</v>
      </c>
      <c r="I3" s="7">
        <f>'Data Sheet'!I41</f>
        <v>45838</v>
      </c>
      <c r="J3" s="7">
        <f>'Data Sheet'!J41</f>
        <v>45930</v>
      </c>
      <c r="K3" s="7">
        <f>'Data Sheet'!K41</f>
        <v>46022</v>
      </c>
    </row>
    <row r="4" s="12" customFormat="1" spans="1:11">
      <c r="A4" s="12" t="s">
        <v>5</v>
      </c>
      <c r="B4" s="1">
        <f>'Data Sheet'!B42</f>
        <v>496.11</v>
      </c>
      <c r="C4" s="1">
        <f>'Data Sheet'!C42</f>
        <v>488.22</v>
      </c>
      <c r="D4" s="1">
        <f>'Data Sheet'!D42</f>
        <v>471.09</v>
      </c>
      <c r="E4" s="1">
        <f>'Data Sheet'!E42</f>
        <v>554.06</v>
      </c>
      <c r="F4" s="1">
        <f>'Data Sheet'!F42</f>
        <v>461.82</v>
      </c>
      <c r="G4" s="1">
        <f>'Data Sheet'!G42</f>
        <v>517.51</v>
      </c>
      <c r="H4" s="1">
        <f>'Data Sheet'!H42</f>
        <v>533.56</v>
      </c>
      <c r="I4" s="1">
        <f>'Data Sheet'!I42</f>
        <v>595.25</v>
      </c>
      <c r="J4" s="1">
        <f>'Data Sheet'!J42</f>
        <v>538.06</v>
      </c>
      <c r="K4" s="1">
        <f>'Data Sheet'!K42</f>
        <v>601.54</v>
      </c>
    </row>
    <row r="5" spans="1:11">
      <c r="A5" s="20" t="s">
        <v>6</v>
      </c>
      <c r="B5" s="3">
        <f>'Data Sheet'!B43</f>
        <v>455.9</v>
      </c>
      <c r="C5" s="3">
        <f>'Data Sheet'!C43</f>
        <v>453.77</v>
      </c>
      <c r="D5" s="3">
        <f>'Data Sheet'!D43</f>
        <v>437.97</v>
      </c>
      <c r="E5" s="3">
        <f>'Data Sheet'!E43</f>
        <v>507.94</v>
      </c>
      <c r="F5" s="3">
        <f>'Data Sheet'!F43</f>
        <v>492.52</v>
      </c>
      <c r="G5" s="3">
        <f>'Data Sheet'!G43</f>
        <v>491.38</v>
      </c>
      <c r="H5" s="3">
        <f>'Data Sheet'!H43</f>
        <v>506.58</v>
      </c>
      <c r="I5" s="3">
        <f>'Data Sheet'!I43</f>
        <v>549.45</v>
      </c>
      <c r="J5" s="3">
        <f>'Data Sheet'!J43</f>
        <v>490.41</v>
      </c>
      <c r="K5" s="3">
        <f>'Data Sheet'!K43</f>
        <v>536.06</v>
      </c>
    </row>
    <row r="6" s="12" customFormat="1" spans="1:11">
      <c r="A6" s="12" t="s">
        <v>7</v>
      </c>
      <c r="B6" s="1">
        <f>'Data Sheet'!B50</f>
        <v>40.21</v>
      </c>
      <c r="C6" s="1">
        <f>'Data Sheet'!C50</f>
        <v>34.45</v>
      </c>
      <c r="D6" s="1">
        <f>'Data Sheet'!D50</f>
        <v>33.12</v>
      </c>
      <c r="E6" s="1">
        <f>'Data Sheet'!E50</f>
        <v>46.12</v>
      </c>
      <c r="F6" s="1">
        <f>'Data Sheet'!F50</f>
        <v>-30.7</v>
      </c>
      <c r="G6" s="1">
        <f>'Data Sheet'!G50</f>
        <v>26.13</v>
      </c>
      <c r="H6" s="1">
        <f>'Data Sheet'!H50</f>
        <v>26.98</v>
      </c>
      <c r="I6" s="1">
        <f>'Data Sheet'!I50</f>
        <v>45.8</v>
      </c>
      <c r="J6" s="1">
        <f>'Data Sheet'!J50</f>
        <v>47.65</v>
      </c>
      <c r="K6" s="1">
        <f>'Data Sheet'!K50</f>
        <v>65.48</v>
      </c>
    </row>
    <row r="7" spans="1:11">
      <c r="A7" s="20" t="s">
        <v>8</v>
      </c>
      <c r="B7" s="3">
        <f>'Data Sheet'!B44</f>
        <v>7.08</v>
      </c>
      <c r="C7" s="3">
        <f>'Data Sheet'!C44</f>
        <v>10.97</v>
      </c>
      <c r="D7" s="3">
        <f>'Data Sheet'!D44</f>
        <v>19.05</v>
      </c>
      <c r="E7" s="3">
        <f>'Data Sheet'!E44</f>
        <v>18.72</v>
      </c>
      <c r="F7" s="3">
        <f>'Data Sheet'!F44</f>
        <v>20.02</v>
      </c>
      <c r="G7" s="3">
        <f>'Data Sheet'!G44</f>
        <v>19.22</v>
      </c>
      <c r="H7" s="3">
        <f>'Data Sheet'!H44</f>
        <v>20.78</v>
      </c>
      <c r="I7" s="3">
        <f>'Data Sheet'!I44</f>
        <v>23.89</v>
      </c>
      <c r="J7" s="3">
        <f>'Data Sheet'!J44</f>
        <v>20.14</v>
      </c>
      <c r="K7" s="3">
        <f>'Data Sheet'!K44</f>
        <v>15.88</v>
      </c>
    </row>
    <row r="8" spans="1:11">
      <c r="A8" s="20" t="s">
        <v>9</v>
      </c>
      <c r="B8" s="3">
        <f>'Data Sheet'!B45</f>
        <v>6.29</v>
      </c>
      <c r="C8" s="3">
        <f>'Data Sheet'!C45</f>
        <v>8.06</v>
      </c>
      <c r="D8" s="3">
        <f>'Data Sheet'!D45</f>
        <v>9.78</v>
      </c>
      <c r="E8" s="3">
        <f>'Data Sheet'!E45</f>
        <v>9.42</v>
      </c>
      <c r="F8" s="3">
        <f>'Data Sheet'!F45</f>
        <v>10.56</v>
      </c>
      <c r="G8" s="3">
        <f>'Data Sheet'!G45</f>
        <v>12.61</v>
      </c>
      <c r="H8" s="3">
        <f>'Data Sheet'!H45</f>
        <v>12.42</v>
      </c>
      <c r="I8" s="3">
        <f>'Data Sheet'!I45</f>
        <v>10.82</v>
      </c>
      <c r="J8" s="3">
        <f>'Data Sheet'!J45</f>
        <v>11.74</v>
      </c>
      <c r="K8" s="3">
        <f>'Data Sheet'!K45</f>
        <v>11.04</v>
      </c>
    </row>
    <row r="9" spans="1:11">
      <c r="A9" s="20" t="s">
        <v>10</v>
      </c>
      <c r="B9" s="3">
        <f>'Data Sheet'!B46</f>
        <v>1.79</v>
      </c>
      <c r="C9" s="3">
        <f>'Data Sheet'!C46</f>
        <v>2.64</v>
      </c>
      <c r="D9" s="3">
        <f>'Data Sheet'!D46</f>
        <v>3.14</v>
      </c>
      <c r="E9" s="3">
        <f>'Data Sheet'!E46</f>
        <v>3.03</v>
      </c>
      <c r="F9" s="3">
        <f>'Data Sheet'!F46</f>
        <v>3.13</v>
      </c>
      <c r="G9" s="3">
        <f>'Data Sheet'!G46</f>
        <v>3.32</v>
      </c>
      <c r="H9" s="3">
        <f>'Data Sheet'!H46</f>
        <v>3.17</v>
      </c>
      <c r="I9" s="3">
        <f>'Data Sheet'!I46</f>
        <v>3.28</v>
      </c>
      <c r="J9" s="3">
        <f>'Data Sheet'!J46</f>
        <v>3.3</v>
      </c>
      <c r="K9" s="3">
        <f>'Data Sheet'!K46</f>
        <v>3.23</v>
      </c>
    </row>
    <row r="10" spans="1:11">
      <c r="A10" s="20" t="s">
        <v>11</v>
      </c>
      <c r="B10" s="3">
        <f>'Data Sheet'!B47</f>
        <v>39.21</v>
      </c>
      <c r="C10" s="3">
        <f>'Data Sheet'!C47</f>
        <v>34.72</v>
      </c>
      <c r="D10" s="3">
        <f>'Data Sheet'!D47</f>
        <v>39.25</v>
      </c>
      <c r="E10" s="3">
        <f>'Data Sheet'!E47</f>
        <v>52.39</v>
      </c>
      <c r="F10" s="3">
        <f>'Data Sheet'!F47</f>
        <v>-24.37</v>
      </c>
      <c r="G10" s="3">
        <f>'Data Sheet'!G47</f>
        <v>29.42</v>
      </c>
      <c r="H10" s="3">
        <f>'Data Sheet'!H47</f>
        <v>32.17</v>
      </c>
      <c r="I10" s="3">
        <f>'Data Sheet'!I47</f>
        <v>55.59</v>
      </c>
      <c r="J10" s="3">
        <f>'Data Sheet'!J47</f>
        <v>52.75</v>
      </c>
      <c r="K10" s="3">
        <f>'Data Sheet'!K47</f>
        <v>67.09</v>
      </c>
    </row>
    <row r="11" spans="1:11">
      <c r="A11" s="20" t="s">
        <v>12</v>
      </c>
      <c r="B11" s="3">
        <f>'Data Sheet'!B48</f>
        <v>9.77</v>
      </c>
      <c r="C11" s="3">
        <f>'Data Sheet'!C48</f>
        <v>8.82</v>
      </c>
      <c r="D11" s="3">
        <f>'Data Sheet'!D48</f>
        <v>8.78</v>
      </c>
      <c r="E11" s="3">
        <f>'Data Sheet'!E48</f>
        <v>12.13</v>
      </c>
      <c r="F11" s="3">
        <f>'Data Sheet'!F48</f>
        <v>-5.8</v>
      </c>
      <c r="G11" s="3">
        <f>'Data Sheet'!G48</f>
        <v>3.39</v>
      </c>
      <c r="H11" s="3">
        <f>'Data Sheet'!H48</f>
        <v>7.19</v>
      </c>
      <c r="I11" s="3">
        <f>'Data Sheet'!I48</f>
        <v>14.27</v>
      </c>
      <c r="J11" s="3">
        <f>'Data Sheet'!J48</f>
        <v>13.52</v>
      </c>
      <c r="K11" s="3">
        <f>'Data Sheet'!K48</f>
        <v>16.88</v>
      </c>
    </row>
    <row r="12" s="12" customFormat="1" spans="1:11">
      <c r="A12" s="12" t="s">
        <v>13</v>
      </c>
      <c r="B12" s="1">
        <f>'Data Sheet'!B49</f>
        <v>29.44</v>
      </c>
      <c r="C12" s="1">
        <f>'Data Sheet'!C49</f>
        <v>25.9</v>
      </c>
      <c r="D12" s="1">
        <f>'Data Sheet'!D49</f>
        <v>30.48</v>
      </c>
      <c r="E12" s="1">
        <f>'Data Sheet'!E49</f>
        <v>40.26</v>
      </c>
      <c r="F12" s="1">
        <f>'Data Sheet'!F49</f>
        <v>-18.58</v>
      </c>
      <c r="G12" s="1">
        <f>'Data Sheet'!G49</f>
        <v>26.02</v>
      </c>
      <c r="H12" s="1">
        <f>'Data Sheet'!H49</f>
        <v>24.98</v>
      </c>
      <c r="I12" s="1">
        <f>'Data Sheet'!I49</f>
        <v>41.33</v>
      </c>
      <c r="J12" s="1">
        <f>'Data Sheet'!J49</f>
        <v>39.23</v>
      </c>
      <c r="K12" s="1">
        <f>'Data Sheet'!K49</f>
        <v>50.2</v>
      </c>
    </row>
    <row r="14" s="12" customFormat="1" spans="1:11">
      <c r="A14" s="18" t="s">
        <v>19</v>
      </c>
      <c r="B14" s="27">
        <f>IF(B4&gt;0,B6/B4,"")</f>
        <v>0.0810505734615307</v>
      </c>
      <c r="C14" s="27">
        <f t="shared" ref="C14:K14" si="0">IF(C4&gt;0,C6/C4,"")</f>
        <v>0.0705624513538978</v>
      </c>
      <c r="D14" s="27">
        <f t="shared" si="0"/>
        <v>0.0703050372540279</v>
      </c>
      <c r="E14" s="27">
        <f t="shared" si="0"/>
        <v>0.0832400823015558</v>
      </c>
      <c r="F14" s="27">
        <f t="shared" si="0"/>
        <v>-0.0664761162357629</v>
      </c>
      <c r="G14" s="27">
        <f t="shared" si="0"/>
        <v>0.0504917779366582</v>
      </c>
      <c r="H14" s="27">
        <f t="shared" si="0"/>
        <v>0.0505660094459855</v>
      </c>
      <c r="I14" s="27">
        <f t="shared" si="0"/>
        <v>0.076942461150777</v>
      </c>
      <c r="J14" s="27">
        <f t="shared" si="0"/>
        <v>0.0885588967773111</v>
      </c>
      <c r="K14" s="27">
        <f t="shared" si="0"/>
        <v>0.108853941550022</v>
      </c>
    </row>
    <row r="22" s="28" customFormat="1"/>
  </sheetData>
  <hyperlinks>
    <hyperlink ref="J1" r:id="rId2" display="SCREENER.IN"/>
  </hyperlinks>
  <printOptions gridLines="1"/>
  <pageMargins left="0.7" right="0.7" top="0.75" bottom="0.75" header="0.3" footer="0.3"/>
  <pageSetup paperSize="9" scale="83" orientation="landscape" horizontalDpi="300" verticalDpi="300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>
    <pageSetUpPr fitToPage="1"/>
  </sheetPr>
  <dimension ref="A1:K25"/>
  <sheetViews>
    <sheetView zoomScale="125" zoomScaleNormal="125" workbookViewId="0">
      <pane xSplit="1" ySplit="3" topLeftCell="K4" activePane="bottomRight" state="frozen"/>
      <selection/>
      <selection pane="topRight"/>
      <selection pane="bottomLeft"/>
      <selection pane="bottomRight" activeCell="O13" sqref="O13"/>
    </sheetView>
  </sheetViews>
  <sheetFormatPr defaultColWidth="8.83636363636364" defaultRowHeight="14.5"/>
  <cols>
    <col min="1" max="1" width="22.8363636363636" style="13" customWidth="1"/>
    <col min="2" max="2" width="13.5" style="13" customWidth="1"/>
    <col min="3" max="11" width="15.5" style="13" customWidth="1"/>
    <col min="12" max="16384" width="8.83636363636364" style="13"/>
  </cols>
  <sheetData>
    <row r="1" s="12" customFormat="1" spans="1:11">
      <c r="A1" s="12" t="str">
        <f>'Profit &amp; Loss'!A1</f>
        <v/>
      </c>
      <c r="E1" t="str">
        <f>UPDATE</f>
        <v/>
      </c>
      <c r="G1"/>
      <c r="J1" s="21" t="s">
        <v>0</v>
      </c>
      <c r="K1" s="21"/>
    </row>
    <row r="2" spans="1:11">
      <c r="G2" s="12"/>
      <c r="H2" s="12"/>
    </row>
    <row r="3" s="23" customFormat="1" spans="1:11">
      <c r="A3" s="22" t="s">
        <v>1</v>
      </c>
      <c r="B3" s="7">
        <f>'Data Sheet'!B56</f>
        <v>0</v>
      </c>
      <c r="C3" s="7">
        <f>'Data Sheet'!C56</f>
        <v>0</v>
      </c>
      <c r="D3" s="7">
        <f>'Data Sheet'!D56</f>
        <v>0</v>
      </c>
      <c r="E3" s="7">
        <f>'Data Sheet'!E56</f>
        <v>0</v>
      </c>
      <c r="F3" s="7">
        <f>'Data Sheet'!F56</f>
        <v>0</v>
      </c>
      <c r="G3" s="7">
        <f>'Data Sheet'!G56</f>
        <v>44286</v>
      </c>
      <c r="H3" s="7">
        <f>'Data Sheet'!H56</f>
        <v>44651</v>
      </c>
      <c r="I3" s="7">
        <f>'Data Sheet'!I56</f>
        <v>45016</v>
      </c>
      <c r="J3" s="7">
        <f>'Data Sheet'!J56</f>
        <v>45382</v>
      </c>
      <c r="K3" s="7">
        <f>'Data Sheet'!K56</f>
        <v>45747</v>
      </c>
    </row>
    <row r="4" spans="1:11">
      <c r="A4" s="20" t="s">
        <v>30</v>
      </c>
      <c r="B4" s="24">
        <f>'Data Sheet'!B57</f>
        <v>0</v>
      </c>
      <c r="C4" s="24">
        <f>'Data Sheet'!C57</f>
        <v>0</v>
      </c>
      <c r="D4" s="24">
        <f>'Data Sheet'!D57</f>
        <v>0</v>
      </c>
      <c r="E4" s="24">
        <f>'Data Sheet'!E57</f>
        <v>0</v>
      </c>
      <c r="F4" s="24">
        <f>'Data Sheet'!F57</f>
        <v>0</v>
      </c>
      <c r="G4" s="24">
        <f>'Data Sheet'!G57</f>
        <v>0.01</v>
      </c>
      <c r="H4" s="24">
        <f>'Data Sheet'!H57</f>
        <v>0.01</v>
      </c>
      <c r="I4" s="24">
        <f>'Data Sheet'!I57</f>
        <v>136.34</v>
      </c>
      <c r="J4" s="24">
        <f>'Data Sheet'!J57</f>
        <v>324.24</v>
      </c>
      <c r="K4" s="24">
        <f>'Data Sheet'!K57</f>
        <v>325.18</v>
      </c>
    </row>
    <row r="5" s="20" customFormat="1" spans="1:11">
      <c r="A5" s="20" t="s">
        <v>31</v>
      </c>
      <c r="B5" s="24">
        <f>'Data Sheet'!B58</f>
        <v>0</v>
      </c>
      <c r="C5" s="24">
        <f>'Data Sheet'!C58</f>
        <v>0</v>
      </c>
      <c r="D5" s="24">
        <f>'Data Sheet'!D58</f>
        <v>0</v>
      </c>
      <c r="E5" s="24">
        <f>'Data Sheet'!E58</f>
        <v>0</v>
      </c>
      <c r="F5" s="24">
        <f>'Data Sheet'!F58</f>
        <v>0</v>
      </c>
      <c r="G5" s="24">
        <f>'Data Sheet'!G58</f>
        <v>-1765.17</v>
      </c>
      <c r="H5" s="24">
        <f>'Data Sheet'!H58</f>
        <v>-1087.33</v>
      </c>
      <c r="I5" s="24">
        <f>'Data Sheet'!I58</f>
        <v>-1323.37</v>
      </c>
      <c r="J5" s="24">
        <f>'Data Sheet'!J58</f>
        <v>771.03</v>
      </c>
      <c r="K5" s="24">
        <f>'Data Sheet'!K58</f>
        <v>854.65</v>
      </c>
    </row>
    <row r="6" spans="1:11">
      <c r="A6" s="13" t="s">
        <v>32</v>
      </c>
      <c r="B6" s="24">
        <f>'Data Sheet'!B59</f>
        <v>0</v>
      </c>
      <c r="C6" s="24">
        <f>'Data Sheet'!C59</f>
        <v>0</v>
      </c>
      <c r="D6" s="24">
        <f>'Data Sheet'!D59</f>
        <v>0</v>
      </c>
      <c r="E6" s="24">
        <f>'Data Sheet'!E59</f>
        <v>0</v>
      </c>
      <c r="F6" s="24">
        <f>'Data Sheet'!F59</f>
        <v>0</v>
      </c>
      <c r="G6" s="24">
        <f>'Data Sheet'!G59</f>
        <v>1954.01</v>
      </c>
      <c r="H6" s="24">
        <f>'Data Sheet'!H59</f>
        <v>1852.57</v>
      </c>
      <c r="I6" s="24">
        <f>'Data Sheet'!I59</f>
        <v>1885.13</v>
      </c>
      <c r="J6" s="24">
        <f>'Data Sheet'!J59</f>
        <v>130.97</v>
      </c>
      <c r="K6" s="24">
        <f>'Data Sheet'!K59</f>
        <v>136.4</v>
      </c>
    </row>
    <row r="7" s="20" customFormat="1" spans="1:11">
      <c r="A7" s="13" t="s">
        <v>33</v>
      </c>
      <c r="B7" s="24">
        <f>'Data Sheet'!B60</f>
        <v>0</v>
      </c>
      <c r="C7" s="24">
        <f>'Data Sheet'!C60</f>
        <v>0</v>
      </c>
      <c r="D7" s="24">
        <f>'Data Sheet'!D60</f>
        <v>0</v>
      </c>
      <c r="E7" s="24">
        <f>'Data Sheet'!E60</f>
        <v>0</v>
      </c>
      <c r="F7" s="24">
        <f>'Data Sheet'!F60</f>
        <v>0</v>
      </c>
      <c r="G7" s="24">
        <f>'Data Sheet'!G60</f>
        <v>113.79</v>
      </c>
      <c r="H7" s="24">
        <f>'Data Sheet'!H60</f>
        <v>271.05</v>
      </c>
      <c r="I7" s="24">
        <f>'Data Sheet'!I60</f>
        <v>278.23</v>
      </c>
      <c r="J7" s="24">
        <f>'Data Sheet'!J60</f>
        <v>413.39</v>
      </c>
      <c r="K7" s="24">
        <f>'Data Sheet'!K60</f>
        <v>491.95</v>
      </c>
    </row>
    <row r="8" s="12" customFormat="1" spans="1:11">
      <c r="A8" s="12" t="s">
        <v>34</v>
      </c>
      <c r="B8" s="25">
        <f>'Data Sheet'!B61</f>
        <v>0</v>
      </c>
      <c r="C8" s="25">
        <f>'Data Sheet'!C61</f>
        <v>0</v>
      </c>
      <c r="D8" s="25">
        <f>'Data Sheet'!D61</f>
        <v>0</v>
      </c>
      <c r="E8" s="25">
        <f>'Data Sheet'!E61</f>
        <v>0</v>
      </c>
      <c r="F8" s="25">
        <f>'Data Sheet'!F61</f>
        <v>0</v>
      </c>
      <c r="G8" s="25">
        <f>'Data Sheet'!G61</f>
        <v>302.64</v>
      </c>
      <c r="H8" s="25">
        <f>'Data Sheet'!H61</f>
        <v>1036.3</v>
      </c>
      <c r="I8" s="25">
        <f>'Data Sheet'!I61</f>
        <v>976.33</v>
      </c>
      <c r="J8" s="25">
        <f>'Data Sheet'!J61</f>
        <v>1639.63</v>
      </c>
      <c r="K8" s="25">
        <f>'Data Sheet'!K61</f>
        <v>1808.18</v>
      </c>
    </row>
    <row r="9" s="12" customFormat="1" spans="1:11">
      <c r="B9" s="25"/>
      <c r="C9" s="25"/>
      <c r="D9" s="25"/>
      <c r="E9" s="25"/>
      <c r="F9" s="25"/>
      <c r="G9" s="25"/>
      <c r="H9" s="25"/>
      <c r="I9" s="25"/>
      <c r="J9" s="25"/>
      <c r="K9" s="25"/>
    </row>
    <row r="10" spans="1:11">
      <c r="A10" s="20" t="s">
        <v>35</v>
      </c>
      <c r="B10" s="24">
        <f>'Data Sheet'!B62</f>
        <v>0</v>
      </c>
      <c r="C10" s="24">
        <f>'Data Sheet'!C62</f>
        <v>0</v>
      </c>
      <c r="D10" s="24">
        <f>'Data Sheet'!D62</f>
        <v>0</v>
      </c>
      <c r="E10" s="24">
        <f>'Data Sheet'!E62</f>
        <v>0</v>
      </c>
      <c r="F10" s="24">
        <f>'Data Sheet'!F62</f>
        <v>0</v>
      </c>
      <c r="G10" s="24">
        <f>'Data Sheet'!G62</f>
        <v>21.09</v>
      </c>
      <c r="H10" s="24">
        <f>'Data Sheet'!H62</f>
        <v>341.6</v>
      </c>
      <c r="I10" s="24">
        <f>'Data Sheet'!I62</f>
        <v>252.46</v>
      </c>
      <c r="J10" s="24">
        <f>'Data Sheet'!J62</f>
        <v>298.75</v>
      </c>
      <c r="K10" s="24">
        <f>'Data Sheet'!K62</f>
        <v>302.18</v>
      </c>
    </row>
    <row r="11" spans="1:11">
      <c r="A11" s="20" t="s">
        <v>36</v>
      </c>
      <c r="B11" s="24">
        <f>'Data Sheet'!B63</f>
        <v>0</v>
      </c>
      <c r="C11" s="24">
        <f>'Data Sheet'!C63</f>
        <v>0</v>
      </c>
      <c r="D11" s="24">
        <f>'Data Sheet'!D63</f>
        <v>0</v>
      </c>
      <c r="E11" s="24">
        <f>'Data Sheet'!E63</f>
        <v>0</v>
      </c>
      <c r="F11" s="24">
        <f>'Data Sheet'!F63</f>
        <v>0</v>
      </c>
      <c r="G11" s="24">
        <f>'Data Sheet'!G63</f>
        <v>0</v>
      </c>
      <c r="H11" s="24">
        <f>'Data Sheet'!H63</f>
        <v>1.88</v>
      </c>
      <c r="I11" s="24">
        <f>'Data Sheet'!I63</f>
        <v>0</v>
      </c>
      <c r="J11" s="24">
        <f>'Data Sheet'!J63</f>
        <v>0.46</v>
      </c>
      <c r="K11" s="24">
        <f>'Data Sheet'!K63</f>
        <v>0.08</v>
      </c>
    </row>
    <row r="12" spans="1:11">
      <c r="A12" s="20" t="s">
        <v>37</v>
      </c>
      <c r="B12" s="24">
        <f>'Data Sheet'!B64</f>
        <v>0</v>
      </c>
      <c r="C12" s="24">
        <f>'Data Sheet'!C64</f>
        <v>0</v>
      </c>
      <c r="D12" s="24">
        <f>'Data Sheet'!D64</f>
        <v>0</v>
      </c>
      <c r="E12" s="24">
        <f>'Data Sheet'!E64</f>
        <v>0</v>
      </c>
      <c r="F12" s="24">
        <f>'Data Sheet'!F64</f>
        <v>0</v>
      </c>
      <c r="G12" s="24">
        <f>'Data Sheet'!G64</f>
        <v>164.43</v>
      </c>
      <c r="H12" s="24">
        <f>'Data Sheet'!H64</f>
        <v>338.51</v>
      </c>
      <c r="I12" s="24">
        <f>'Data Sheet'!I64</f>
        <v>260.04</v>
      </c>
      <c r="J12" s="24">
        <f>'Data Sheet'!J64</f>
        <v>291.77</v>
      </c>
      <c r="K12" s="24">
        <f>'Data Sheet'!K64</f>
        <v>304.78</v>
      </c>
    </row>
    <row r="13" spans="1:11">
      <c r="A13" s="13" t="s">
        <v>38</v>
      </c>
      <c r="B13" s="24">
        <f>'Data Sheet'!B65</f>
        <v>0</v>
      </c>
      <c r="C13" s="24">
        <f>'Data Sheet'!C65</f>
        <v>0</v>
      </c>
      <c r="D13" s="24">
        <f>'Data Sheet'!D65</f>
        <v>0</v>
      </c>
      <c r="E13" s="24">
        <f>'Data Sheet'!E65</f>
        <v>0</v>
      </c>
      <c r="F13" s="24">
        <f>'Data Sheet'!F65</f>
        <v>0</v>
      </c>
      <c r="G13" s="24">
        <f>'Data Sheet'!G65</f>
        <v>117.12</v>
      </c>
      <c r="H13" s="24">
        <f>'Data Sheet'!H65</f>
        <v>354.31</v>
      </c>
      <c r="I13" s="24">
        <f>'Data Sheet'!I65</f>
        <v>463.83</v>
      </c>
      <c r="J13" s="24">
        <f>'Data Sheet'!J65</f>
        <v>1048.65</v>
      </c>
      <c r="K13" s="24">
        <f>'Data Sheet'!K65</f>
        <v>1201.14</v>
      </c>
    </row>
    <row r="14" s="12" customFormat="1" spans="1:11">
      <c r="A14" s="12" t="s">
        <v>34</v>
      </c>
      <c r="B14" s="24">
        <f>'Data Sheet'!B66</f>
        <v>0</v>
      </c>
      <c r="C14" s="24">
        <f>'Data Sheet'!C66</f>
        <v>0</v>
      </c>
      <c r="D14" s="24">
        <f>'Data Sheet'!D66</f>
        <v>0</v>
      </c>
      <c r="E14" s="24">
        <f>'Data Sheet'!E66</f>
        <v>0</v>
      </c>
      <c r="F14" s="24">
        <f>'Data Sheet'!F66</f>
        <v>0</v>
      </c>
      <c r="G14" s="24">
        <f>'Data Sheet'!G66</f>
        <v>302.64</v>
      </c>
      <c r="H14" s="24">
        <f>'Data Sheet'!H66</f>
        <v>1036.3</v>
      </c>
      <c r="I14" s="24">
        <f>'Data Sheet'!I66</f>
        <v>976.33</v>
      </c>
      <c r="J14" s="24">
        <f>'Data Sheet'!J66</f>
        <v>1639.63</v>
      </c>
      <c r="K14" s="24">
        <f>'Data Sheet'!K66</f>
        <v>1808.18</v>
      </c>
    </row>
    <row r="15" spans="1:11">
      <c r="A15" s="20"/>
      <c r="B15" s="26"/>
      <c r="C15" s="26"/>
      <c r="D15" s="26"/>
      <c r="E15" s="26"/>
      <c r="F15" s="26"/>
      <c r="G15" s="26"/>
      <c r="H15" s="26"/>
      <c r="I15" s="26"/>
      <c r="J15" s="26"/>
      <c r="K15" s="26"/>
    </row>
    <row r="16" spans="1:11">
      <c r="A16" s="19" t="s">
        <v>39</v>
      </c>
      <c r="B16" s="26">
        <f>B13-B7</f>
        <v>0</v>
      </c>
      <c r="C16" s="26">
        <f t="shared" ref="C16:K16" si="0">C13-C7</f>
        <v>0</v>
      </c>
      <c r="D16" s="26">
        <f t="shared" si="0"/>
        <v>0</v>
      </c>
      <c r="E16" s="26">
        <f t="shared" si="0"/>
        <v>0</v>
      </c>
      <c r="F16" s="26">
        <f t="shared" si="0"/>
        <v>0</v>
      </c>
      <c r="G16" s="26">
        <f t="shared" si="0"/>
        <v>3.33</v>
      </c>
      <c r="H16" s="26">
        <f t="shared" si="0"/>
        <v>83.26</v>
      </c>
      <c r="I16" s="26">
        <f t="shared" si="0"/>
        <v>185.6</v>
      </c>
      <c r="J16" s="26">
        <f t="shared" si="0"/>
        <v>635.26</v>
      </c>
      <c r="K16" s="26">
        <f t="shared" si="0"/>
        <v>709.19</v>
      </c>
    </row>
    <row r="17" spans="1:11">
      <c r="A17" s="13" t="s">
        <v>40</v>
      </c>
      <c r="B17" s="26">
        <f>'Data Sheet'!B67</f>
        <v>0</v>
      </c>
      <c r="C17" s="26">
        <f>'Data Sheet'!C67</f>
        <v>0</v>
      </c>
      <c r="D17" s="26">
        <f>'Data Sheet'!D67</f>
        <v>0</v>
      </c>
      <c r="E17" s="26">
        <f>'Data Sheet'!E67</f>
        <v>0</v>
      </c>
      <c r="F17" s="26">
        <f>'Data Sheet'!F67</f>
        <v>0</v>
      </c>
      <c r="G17" s="26">
        <f>'Data Sheet'!G67</f>
        <v>33.84</v>
      </c>
      <c r="H17" s="26">
        <f>'Data Sheet'!H67</f>
        <v>72.79</v>
      </c>
      <c r="I17" s="26">
        <f>'Data Sheet'!I67</f>
        <v>127.7</v>
      </c>
      <c r="J17" s="26">
        <f>'Data Sheet'!J67</f>
        <v>159.38</v>
      </c>
      <c r="K17" s="26">
        <f>'Data Sheet'!K67</f>
        <v>132.33</v>
      </c>
    </row>
    <row r="18" spans="1:11">
      <c r="A18" s="13" t="s">
        <v>41</v>
      </c>
      <c r="B18" s="26">
        <f>'Data Sheet'!B68</f>
        <v>0</v>
      </c>
      <c r="C18" s="26">
        <f>'Data Sheet'!C68</f>
        <v>0</v>
      </c>
      <c r="D18" s="26">
        <f>'Data Sheet'!D68</f>
        <v>0</v>
      </c>
      <c r="E18" s="26">
        <f>'Data Sheet'!E68</f>
        <v>0</v>
      </c>
      <c r="F18" s="26">
        <f>'Data Sheet'!F68</f>
        <v>0</v>
      </c>
      <c r="G18" s="26">
        <f>'Data Sheet'!G68</f>
        <v>41.35</v>
      </c>
      <c r="H18" s="26">
        <f>'Data Sheet'!H68</f>
        <v>67.14</v>
      </c>
      <c r="I18" s="26">
        <f>'Data Sheet'!I68</f>
        <v>123.85</v>
      </c>
      <c r="J18" s="26">
        <f>'Data Sheet'!J68</f>
        <v>132.22</v>
      </c>
      <c r="K18" s="26">
        <f>'Data Sheet'!K68</f>
        <v>176.32</v>
      </c>
    </row>
    <row r="20" spans="1:11">
      <c r="A20" s="13" t="s">
        <v>42</v>
      </c>
      <c r="B20" s="3">
        <f>IF('Profit &amp; Loss'!B4&gt;0,'Balance Sheet'!B17/('Profit &amp; Loss'!B4/365),0)</f>
        <v>0</v>
      </c>
      <c r="C20" s="3">
        <f>IF('Profit &amp; Loss'!C4&gt;0,'Balance Sheet'!C17/('Profit &amp; Loss'!C4/365),0)</f>
        <v>0</v>
      </c>
      <c r="D20" s="3">
        <f>IF('Profit &amp; Loss'!D4&gt;0,'Balance Sheet'!D17/('Profit &amp; Loss'!D4/365),0)</f>
        <v>0</v>
      </c>
      <c r="E20" s="3">
        <f>IF('Profit &amp; Loss'!E4&gt;0,'Balance Sheet'!E17/('Profit &amp; Loss'!E4/365),0)</f>
        <v>0</v>
      </c>
      <c r="F20" s="3">
        <f>IF('Profit &amp; Loss'!F4&gt;0,'Balance Sheet'!F17/('Profit &amp; Loss'!F4/365),0)</f>
        <v>0</v>
      </c>
      <c r="G20" s="3">
        <f>IF('Profit &amp; Loss'!G4&gt;0,'Balance Sheet'!G17/('Profit &amp; Loss'!G4/365),0)</f>
        <v>26.8518880845236</v>
      </c>
      <c r="H20" s="3">
        <f>IF('Profit &amp; Loss'!H4&gt;0,'Balance Sheet'!H17/('Profit &amp; Loss'!H4/365),0)</f>
        <v>28.1602488685385</v>
      </c>
      <c r="I20" s="3">
        <f>IF('Profit &amp; Loss'!I4&gt;0,'Balance Sheet'!I17/('Profit &amp; Loss'!I4/365),0)</f>
        <v>31.2245854965667</v>
      </c>
      <c r="J20" s="3">
        <f>IF('Profit &amp; Loss'!J4&gt;0,'Balance Sheet'!J17/('Profit &amp; Loss'!J4/365),0)</f>
        <v>30.3003802281369</v>
      </c>
      <c r="K20" s="3">
        <f>IF('Profit &amp; Loss'!K4&gt;0,'Balance Sheet'!K17/('Profit &amp; Loss'!K4/365),0)</f>
        <v>23.3679818089456</v>
      </c>
    </row>
    <row r="21" spans="1:11">
      <c r="A21" s="13" t="s">
        <v>43</v>
      </c>
      <c r="B21" s="3">
        <f>IF('Balance Sheet'!B18&gt;0,'Profit &amp; Loss'!B4/'Balance Sheet'!B18,0)</f>
        <v>0</v>
      </c>
      <c r="C21" s="3">
        <f>IF('Balance Sheet'!C18&gt;0,'Profit &amp; Loss'!C4/'Balance Sheet'!C18,0)</f>
        <v>0</v>
      </c>
      <c r="D21" s="3">
        <f>IF('Balance Sheet'!D18&gt;0,'Profit &amp; Loss'!D4/'Balance Sheet'!D18,0)</f>
        <v>0</v>
      </c>
      <c r="E21" s="3">
        <f>IF('Balance Sheet'!E18&gt;0,'Profit &amp; Loss'!E4/'Balance Sheet'!E18,0)</f>
        <v>0</v>
      </c>
      <c r="F21" s="3">
        <f>IF('Balance Sheet'!F18&gt;0,'Profit &amp; Loss'!F4/'Balance Sheet'!F18,0)</f>
        <v>0</v>
      </c>
      <c r="G21" s="3">
        <f>IF('Balance Sheet'!G18&gt;0,'Profit &amp; Loss'!G4/'Balance Sheet'!G18,0)</f>
        <v>11.1243047158404</v>
      </c>
      <c r="H21" s="3">
        <f>IF('Balance Sheet'!H18&gt;0,'Profit &amp; Loss'!H4/'Balance Sheet'!H18,0)</f>
        <v>14.0522788203753</v>
      </c>
      <c r="I21" s="3">
        <f>IF('Balance Sheet'!I18&gt;0,'Profit &amp; Loss'!I4/'Balance Sheet'!I18,0)</f>
        <v>12.0528865563181</v>
      </c>
      <c r="J21" s="3">
        <f>IF('Balance Sheet'!J18&gt;0,'Profit &amp; Loss'!J4/'Balance Sheet'!J18,0)</f>
        <v>14.5204961427923</v>
      </c>
      <c r="K21" s="3">
        <f>IF('Balance Sheet'!K18&gt;0,'Profit &amp; Loss'!K4/'Balance Sheet'!K18,0)</f>
        <v>11.7227200544465</v>
      </c>
    </row>
    <row r="23" s="12" customFormat="1" spans="1:11">
      <c r="A23" s="12" t="s">
        <v>44</v>
      </c>
      <c r="B23" s="27" t="str">
        <f>IF(SUM('Balance Sheet'!B4:B5)&gt;0,'Profit &amp; Loss'!B12/SUM('Balance Sheet'!B4:B5),"")</f>
        <v/>
      </c>
      <c r="C23" s="27" t="str">
        <f>IF(SUM('Balance Sheet'!C4:C5)&gt;0,'Profit &amp; Loss'!C12/SUM('Balance Sheet'!C4:C5),"")</f>
        <v/>
      </c>
      <c r="D23" s="27" t="str">
        <f>IF(SUM('Balance Sheet'!D4:D5)&gt;0,'Profit &amp; Loss'!D12/SUM('Balance Sheet'!D4:D5),"")</f>
        <v/>
      </c>
      <c r="E23" s="27" t="str">
        <f>IF(SUM('Balance Sheet'!E4:E5)&gt;0,'Profit &amp; Loss'!E12/SUM('Balance Sheet'!E4:E5),"")</f>
        <v/>
      </c>
      <c r="F23" s="27" t="str">
        <f>IF(SUM('Balance Sheet'!F4:F5)&gt;0,'Profit &amp; Loss'!F12/SUM('Balance Sheet'!F4:F5),"")</f>
        <v/>
      </c>
      <c r="G23" s="27" t="str">
        <f>IF(SUM('Balance Sheet'!G4:G5)&gt;0,'Profit &amp; Loss'!G12/SUM('Balance Sheet'!G4:G5),"")</f>
        <v/>
      </c>
      <c r="H23" s="27" t="str">
        <f>IF(SUM('Balance Sheet'!H4:H5)&gt;0,'Profit &amp; Loss'!H12/SUM('Balance Sheet'!H4:H5),"")</f>
        <v/>
      </c>
      <c r="I23" s="27" t="str">
        <f>IF(SUM('Balance Sheet'!I4:I5)&gt;0,'Profit &amp; Loss'!I12/SUM('Balance Sheet'!I4:I5),"")</f>
        <v/>
      </c>
      <c r="J23" s="27">
        <f>IF(SUM('Balance Sheet'!J4:J5)&gt;0,'Profit &amp; Loss'!J12/SUM('Balance Sheet'!J4:J5),"")</f>
        <v>0.102093547709697</v>
      </c>
      <c r="K23" s="27">
        <f>IF(SUM('Balance Sheet'!K4:K5)&gt;0,'Profit &amp; Loss'!K12/SUM('Balance Sheet'!K4:K5),"")</f>
        <v>0.0616105710144682</v>
      </c>
    </row>
    <row r="24" s="12" customFormat="1" spans="1:11">
      <c r="A24" s="12" t="s">
        <v>45</v>
      </c>
      <c r="B24" s="27"/>
      <c r="C24" s="27" t="str">
        <f>IF((B4+B5+B6+C4+C5+C6)&gt;0,('Profit &amp; Loss'!C10+'Profit &amp; Loss'!C9)*2/(B4+B5+B6+C4+C5+C6),"")</f>
        <v/>
      </c>
      <c r="D24" s="27" t="str">
        <f>IF((C4+C5+C6+D4+D5+D6)&gt;0,('Profit &amp; Loss'!D10+'Profit &amp; Loss'!D9)*2/(C4+C5+C6+D4+D5+D6),"")</f>
        <v/>
      </c>
      <c r="E24" s="27" t="str">
        <f>IF((D4+D5+D6+E4+E5+E6)&gt;0,('Profit &amp; Loss'!E10+'Profit &amp; Loss'!E9)*2/(D4+D5+D6+E4+E5+E6),"")</f>
        <v/>
      </c>
      <c r="F24" s="27" t="str">
        <f>IF((E4+E5+E6+F4+F5+F6)&gt;0,('Profit &amp; Loss'!F10+'Profit &amp; Loss'!F9)*2/(E4+E5+E6+F4+F5+F6),"")</f>
        <v/>
      </c>
      <c r="G24" s="27">
        <f>IF((F4+F5+F6+G4+G5+G6)&gt;0,('Profit &amp; Loss'!G10+'Profit &amp; Loss'!G9)*2/(F4+F5+F6+G4+G5+G6),"")</f>
        <v>-14.017791898332</v>
      </c>
      <c r="H24" s="27">
        <f>IF((G4+G5+G6+H4+H5+H6)&gt;0,('Profit &amp; Loss'!H10+'Profit &amp; Loss'!H9)*2/(G4+G5+G6+H4+H5+H6),"")</f>
        <v>0.0533277434231213</v>
      </c>
      <c r="I24" s="27">
        <f>IF((H4+H5+H6+I4+I5+I6)&gt;0,('Profit &amp; Loss'!I10+'Profit &amp; Loss'!I9)*2/(H4+H5+H6+I4+I5+I6),"")</f>
        <v>-0.183660778351044</v>
      </c>
      <c r="J24" s="27">
        <f>IF((I4+I5+I6+J4+J5+J6)&gt;0,('Profit &amp; Loss'!J10+'Profit &amp; Loss'!J9)*2/(I4+I5+I6+J4+J5+J6),"")</f>
        <v>0.162351767359198</v>
      </c>
      <c r="K24" s="27">
        <f>IF((J4+J5+J6+K4+K5+K6)&gt;0,('Profit &amp; Loss'!K10+'Profit &amp; Loss'!K9)*2/(J4+J5+J6+K4+K5+K6),"")</f>
        <v>0.0804414604695434</v>
      </c>
    </row>
    <row r="25" s="23" customFormat="1"/>
  </sheetData>
  <hyperlinks>
    <hyperlink ref="J1" r:id="rId1" display="SCREENER.IN"/>
  </hyperlinks>
  <printOptions gridLines="1"/>
  <pageMargins left="0.7" right="0.7" top="0.75" bottom="0.75" header="0.3" footer="0.3"/>
  <pageSetup paperSize="9" orientation="landscape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/>
      <selection pane="topRight"/>
      <selection pane="bottomLeft"/>
      <selection pane="bottomRight" activeCell="K5" sqref="K5"/>
    </sheetView>
  </sheetViews>
  <sheetFormatPr defaultColWidth="8.83636363636364" defaultRowHeight="14.5"/>
  <cols>
    <col min="1" max="1" width="26.8363636363636" style="20" customWidth="1"/>
    <col min="2" max="11" width="13.5" style="20" customWidth="1"/>
    <col min="12" max="16384" width="8.83636363636364" style="20"/>
  </cols>
  <sheetData>
    <row r="1" s="12" customFormat="1" spans="1:11">
      <c r="A1" s="12" t="str">
        <f>'Balance Sheet'!A1</f>
        <v/>
      </c>
      <c r="E1" t="str">
        <f>UPDATE</f>
        <v/>
      </c>
      <c r="F1"/>
      <c r="J1" s="21" t="s">
        <v>0</v>
      </c>
      <c r="K1" s="21"/>
    </row>
    <row r="3" s="18" customFormat="1" spans="1:11">
      <c r="A3" s="22" t="s">
        <v>1</v>
      </c>
      <c r="B3" s="7">
        <f>'Data Sheet'!B81</f>
        <v>0</v>
      </c>
      <c r="C3" s="7">
        <f>'Data Sheet'!C81</f>
        <v>0</v>
      </c>
      <c r="D3" s="7">
        <f>'Data Sheet'!D81</f>
        <v>0</v>
      </c>
      <c r="E3" s="7">
        <f>'Data Sheet'!E81</f>
        <v>0</v>
      </c>
      <c r="F3" s="7">
        <f>'Data Sheet'!F81</f>
        <v>0</v>
      </c>
      <c r="G3" s="7">
        <f>'Data Sheet'!G81</f>
        <v>44286</v>
      </c>
      <c r="H3" s="7">
        <f>'Data Sheet'!H81</f>
        <v>44651</v>
      </c>
      <c r="I3" s="7">
        <f>'Data Sheet'!I81</f>
        <v>45016</v>
      </c>
      <c r="J3" s="7">
        <f>'Data Sheet'!J81</f>
        <v>45382</v>
      </c>
      <c r="K3" s="7">
        <f>'Data Sheet'!K81</f>
        <v>45747</v>
      </c>
    </row>
    <row r="4" s="12" customFormat="1" spans="1:11">
      <c r="A4" s="12" t="s">
        <v>46</v>
      </c>
      <c r="B4" s="1">
        <f>'Data Sheet'!B82</f>
        <v>0</v>
      </c>
      <c r="C4" s="1">
        <f>'Data Sheet'!C82</f>
        <v>0</v>
      </c>
      <c r="D4" s="1">
        <f>'Data Sheet'!D82</f>
        <v>0</v>
      </c>
      <c r="E4" s="1">
        <f>'Data Sheet'!E82</f>
        <v>0</v>
      </c>
      <c r="F4" s="1">
        <f>'Data Sheet'!F82</f>
        <v>0</v>
      </c>
      <c r="G4" s="1">
        <f>'Data Sheet'!G82</f>
        <v>29.73</v>
      </c>
      <c r="H4" s="1">
        <f>'Data Sheet'!H82</f>
        <v>44.59</v>
      </c>
      <c r="I4" s="1">
        <f>'Data Sheet'!I82</f>
        <v>-51.55</v>
      </c>
      <c r="J4" s="1">
        <f>'Data Sheet'!J82</f>
        <v>235.38</v>
      </c>
      <c r="K4" s="1">
        <f>'Data Sheet'!K82</f>
        <v>102.18</v>
      </c>
    </row>
    <row r="5" spans="1:11">
      <c r="A5" s="20" t="s">
        <v>47</v>
      </c>
      <c r="B5" s="3">
        <f>'Data Sheet'!B83</f>
        <v>0</v>
      </c>
      <c r="C5" s="3">
        <f>'Data Sheet'!C83</f>
        <v>0</v>
      </c>
      <c r="D5" s="3">
        <f>'Data Sheet'!D83</f>
        <v>0</v>
      </c>
      <c r="E5" s="3">
        <f>'Data Sheet'!E83</f>
        <v>0</v>
      </c>
      <c r="F5" s="3">
        <f>'Data Sheet'!F83</f>
        <v>0</v>
      </c>
      <c r="G5" s="3">
        <f>'Data Sheet'!G83</f>
        <v>-20.61</v>
      </c>
      <c r="H5" s="3">
        <f>'Data Sheet'!H83</f>
        <v>-504.76</v>
      </c>
      <c r="I5" s="3">
        <f>'Data Sheet'!I83</f>
        <v>39.87</v>
      </c>
      <c r="J5" s="3">
        <f>'Data Sheet'!J83</f>
        <v>-469.82</v>
      </c>
      <c r="K5" s="3">
        <f>'Data Sheet'!K83</f>
        <v>-145.12</v>
      </c>
    </row>
    <row r="6" spans="1:11">
      <c r="A6" s="20" t="s">
        <v>48</v>
      </c>
      <c r="B6" s="3">
        <f>'Data Sheet'!B84</f>
        <v>0</v>
      </c>
      <c r="C6" s="3">
        <f>'Data Sheet'!C84</f>
        <v>0</v>
      </c>
      <c r="D6" s="3">
        <f>'Data Sheet'!D84</f>
        <v>0</v>
      </c>
      <c r="E6" s="3">
        <f>'Data Sheet'!E84</f>
        <v>0</v>
      </c>
      <c r="F6" s="3">
        <f>'Data Sheet'!F84</f>
        <v>0</v>
      </c>
      <c r="G6" s="3">
        <f>'Data Sheet'!G84</f>
        <v>-1.28</v>
      </c>
      <c r="H6" s="3">
        <f>'Data Sheet'!H84</f>
        <v>480.8</v>
      </c>
      <c r="I6" s="3">
        <f>'Data Sheet'!I84</f>
        <v>-14.06</v>
      </c>
      <c r="J6" s="3">
        <f>'Data Sheet'!J84</f>
        <v>336.86</v>
      </c>
      <c r="K6" s="3">
        <f>'Data Sheet'!K84</f>
        <v>-31.11</v>
      </c>
    </row>
    <row r="7" s="12" customFormat="1" spans="1:11">
      <c r="A7" s="12" t="s">
        <v>49</v>
      </c>
      <c r="B7" s="1">
        <f>'Data Sheet'!B85</f>
        <v>0</v>
      </c>
      <c r="C7" s="1">
        <f>'Data Sheet'!C85</f>
        <v>0</v>
      </c>
      <c r="D7" s="1">
        <f>'Data Sheet'!D85</f>
        <v>0</v>
      </c>
      <c r="E7" s="1">
        <f>'Data Sheet'!E85</f>
        <v>0</v>
      </c>
      <c r="F7" s="1">
        <f>'Data Sheet'!F85</f>
        <v>0</v>
      </c>
      <c r="G7" s="1">
        <f>'Data Sheet'!G85</f>
        <v>7.84</v>
      </c>
      <c r="H7" s="1">
        <f>'Data Sheet'!H85</f>
        <v>20.63</v>
      </c>
      <c r="I7" s="1">
        <f>'Data Sheet'!I85</f>
        <v>-25.74</v>
      </c>
      <c r="J7" s="1">
        <f>'Data Sheet'!J85</f>
        <v>102.42</v>
      </c>
      <c r="K7" s="1">
        <f>'Data Sheet'!K85</f>
        <v>-74.05</v>
      </c>
    </row>
    <row r="8" spans="1:11">
      <c r="A8" s="19"/>
      <c r="B8" s="3"/>
      <c r="C8" s="3"/>
      <c r="D8" s="3"/>
      <c r="E8" s="3"/>
      <c r="F8" s="3"/>
      <c r="G8" s="3"/>
      <c r="H8" s="3"/>
      <c r="I8" s="3"/>
      <c r="J8" s="3"/>
      <c r="K8" s="3"/>
    </row>
    <row r="24" s="19" customFormat="1"/>
  </sheetData>
  <hyperlinks>
    <hyperlink ref="J1" r:id="rId1" display="SCREENER.IN"/>
  </hyperlinks>
  <printOptions gridLines="1"/>
  <pageMargins left="0.7" right="0.7" top="0.75" bottom="0.75" header="0.3" footer="0.3"/>
  <pageSetup paperSize="9" orientation="landscape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A1:G16"/>
  <sheetViews>
    <sheetView zoomScale="150" zoomScaleNormal="150" zoomScalePageLayoutView="150" workbookViewId="0">
      <selection activeCell="B16" sqref="B16"/>
    </sheetView>
  </sheetViews>
  <sheetFormatPr defaultColWidth="8.83636363636364" defaultRowHeight="14.5" outlineLevelCol="6"/>
  <cols>
    <col min="1" max="1" width="8.83636363636364" style="12"/>
    <col min="2" max="2" width="10.5" style="13" customWidth="1"/>
    <col min="3" max="3" width="13.3363636363636" style="14" customWidth="1"/>
    <col min="4" max="5" width="8.83636363636364" style="13"/>
    <col min="6" max="6" width="6.83636363636364" style="13" customWidth="1"/>
    <col min="7" max="16384" width="8.83636363636364" style="13"/>
  </cols>
  <sheetData>
    <row r="1" ht="21" spans="1:7">
      <c r="A1" s="15" t="s">
        <v>50</v>
      </c>
    </row>
    <row r="3" spans="1:7">
      <c r="A3" s="12" t="s">
        <v>51</v>
      </c>
    </row>
    <row r="4" spans="1:7">
      <c r="B4" s="13" t="s">
        <v>52</v>
      </c>
    </row>
    <row r="5" spans="1:7">
      <c r="B5" s="13" t="s">
        <v>53</v>
      </c>
    </row>
    <row r="7" spans="1:7">
      <c r="A7" s="12" t="s">
        <v>54</v>
      </c>
    </row>
    <row r="8" spans="1:7">
      <c r="B8" s="13" t="s">
        <v>55</v>
      </c>
      <c r="C8" s="16" t="s">
        <v>56</v>
      </c>
    </row>
    <row r="10" spans="1:7">
      <c r="A10" s="12" t="s">
        <v>57</v>
      </c>
    </row>
    <row r="11" spans="1:7">
      <c r="B11" s="13" t="s">
        <v>58</v>
      </c>
    </row>
    <row r="14" spans="1:7">
      <c r="A14" s="12" t="s">
        <v>59</v>
      </c>
    </row>
    <row r="15" spans="1:7">
      <c r="B15" s="13" t="s">
        <v>60</v>
      </c>
    </row>
    <row r="16" spans="1:7">
      <c r="B16" s="13" t="s">
        <v>61</v>
      </c>
      <c r="G16" s="17"/>
    </row>
  </sheetData>
  <hyperlinks>
    <hyperlink ref="C8" r:id="rId1" display=" https://www.screener.in/excel/"/>
  </hyperlinks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93"/>
  <sheetViews>
    <sheetView tabSelected="1" zoomScale="85" zoomScaleNormal="85" zoomScalePageLayoutView="120" workbookViewId="0">
      <pane xSplit="1" ySplit="1" topLeftCell="P2" activePane="bottomRight" state="frozen"/>
      <selection/>
      <selection pane="topRight"/>
      <selection pane="bottomLeft"/>
      <selection pane="bottomRight" activeCell="AG16" sqref="AG16"/>
    </sheetView>
  </sheetViews>
  <sheetFormatPr defaultColWidth="8.83636363636364" defaultRowHeight="14.5"/>
  <cols>
    <col min="1" max="1" width="27.6636363636364" style="3" customWidth="1"/>
    <col min="2" max="11" width="13.5" style="3" customWidth="1"/>
    <col min="12" max="12" width="8.83636363636364" style="3"/>
    <col min="13" max="13" width="12.8181818181818" style="3"/>
    <col min="14" max="16384" width="8.83636363636364" style="3"/>
  </cols>
  <sheetData>
    <row r="1" s="1" customFormat="1" spans="1:11">
      <c r="A1" s="1" t="s">
        <v>62</v>
      </c>
      <c r="B1" s="1" t="s">
        <v>63</v>
      </c>
      <c r="E1" s="4" t="str">
        <f>IF(B2&lt;&gt;B3,"A NEW VERSION OF THE WORKSHEET IS AVAILABLE","")</f>
        <v/>
      </c>
      <c r="F1" s="4"/>
      <c r="G1" s="4"/>
      <c r="H1" s="4"/>
      <c r="I1" s="4"/>
      <c r="J1" s="4"/>
      <c r="K1" s="4"/>
    </row>
    <row r="2" spans="1:11">
      <c r="A2" s="1" t="s">
        <v>64</v>
      </c>
      <c r="B2" s="3">
        <v>2.1</v>
      </c>
      <c r="E2" s="5"/>
      <c r="F2" s="5"/>
      <c r="G2" s="5"/>
      <c r="H2" s="5"/>
      <c r="I2" s="5"/>
      <c r="J2" s="5"/>
      <c r="K2" s="5"/>
    </row>
    <row r="3" spans="1:11">
      <c r="A3" s="1" t="s">
        <v>65</v>
      </c>
      <c r="B3" s="3">
        <v>2.1</v>
      </c>
    </row>
    <row r="4" spans="1:11">
      <c r="A4" s="1"/>
    </row>
    <row r="5" spans="1:11">
      <c r="A5" s="1" t="s">
        <v>66</v>
      </c>
    </row>
    <row r="6" spans="1:11">
      <c r="A6" s="3" t="s">
        <v>67</v>
      </c>
      <c r="B6" s="3">
        <f>IF(B9&gt;0,B9/B8,0)</f>
        <v>32.5369929769242</v>
      </c>
    </row>
    <row r="7" spans="1:11">
      <c r="A7" s="3" t="s">
        <v>68</v>
      </c>
      <c r="B7">
        <v>10</v>
      </c>
    </row>
    <row r="8" spans="1:11">
      <c r="A8" s="3" t="s">
        <v>69</v>
      </c>
      <c r="B8">
        <v>348.85</v>
      </c>
    </row>
    <row r="9" spans="1:11">
      <c r="A9" s="3" t="s">
        <v>70</v>
      </c>
      <c r="B9">
        <v>11350.53</v>
      </c>
    </row>
    <row r="15" spans="1:11">
      <c r="A15" s="1" t="s">
        <v>71</v>
      </c>
    </row>
    <row r="16" s="2" customFormat="1" spans="1:11">
      <c r="A16" s="6" t="s">
        <v>72</v>
      </c>
      <c r="B16" s="7"/>
      <c r="C16" s="7"/>
      <c r="D16" s="7"/>
      <c r="E16" s="7"/>
      <c r="F16" s="7"/>
      <c r="G16" s="7">
        <v>44286</v>
      </c>
      <c r="H16" s="7">
        <v>44651</v>
      </c>
      <c r="I16" s="7">
        <v>45016</v>
      </c>
      <c r="J16" s="7">
        <v>45382</v>
      </c>
      <c r="K16" s="7">
        <v>45747</v>
      </c>
    </row>
    <row r="17" s="3" customFormat="1" spans="1:13">
      <c r="A17" s="3" t="s">
        <v>5</v>
      </c>
      <c r="G17">
        <v>459.99</v>
      </c>
      <c r="H17">
        <v>943.47</v>
      </c>
      <c r="I17">
        <v>1492.75</v>
      </c>
      <c r="J17">
        <v>1919.9</v>
      </c>
      <c r="K17">
        <v>2066.95</v>
      </c>
      <c r="L17" s="8" t="s">
        <v>73</v>
      </c>
      <c r="M17" s="9"/>
    </row>
    <row r="18" s="3" customFormat="1" spans="1:13">
      <c r="A18" s="3" t="s">
        <v>74</v>
      </c>
      <c r="G18">
        <v>160.78</v>
      </c>
      <c r="H18">
        <v>304.77</v>
      </c>
      <c r="I18">
        <v>502.42</v>
      </c>
      <c r="J18">
        <v>593.57</v>
      </c>
      <c r="K18">
        <v>656.39</v>
      </c>
      <c r="L18" t="s">
        <v>75</v>
      </c>
      <c r="M18" s="10">
        <v>-0.35</v>
      </c>
    </row>
    <row r="19" s="3" customFormat="1" spans="1:13">
      <c r="A19" s="3" t="s">
        <v>76</v>
      </c>
      <c r="G19">
        <v>28.07</v>
      </c>
      <c r="H19">
        <v>21.33</v>
      </c>
      <c r="I19">
        <v>55.69</v>
      </c>
      <c r="J19">
        <v>12.88</v>
      </c>
      <c r="K19">
        <v>43.46</v>
      </c>
      <c r="L19" t="s">
        <v>77</v>
      </c>
      <c r="M19" s="3">
        <f>(K17-G17)/G17</f>
        <v>3.49346724928803</v>
      </c>
    </row>
    <row r="20" s="3" customFormat="1" spans="1:13">
      <c r="A20" s="3" t="s">
        <v>78</v>
      </c>
      <c r="G20">
        <v>0.08</v>
      </c>
      <c r="H20">
        <v>0.18</v>
      </c>
      <c r="I20">
        <v>0.84</v>
      </c>
      <c r="J20">
        <v>1.43</v>
      </c>
      <c r="K20">
        <v>2.14</v>
      </c>
    </row>
    <row r="21" s="3" customFormat="1" spans="1:13">
      <c r="A21" s="3" t="s">
        <v>79</v>
      </c>
      <c r="G21">
        <v>54.71</v>
      </c>
      <c r="H21">
        <v>20.67</v>
      </c>
      <c r="I21">
        <v>34.87</v>
      </c>
      <c r="J21">
        <v>42.04</v>
      </c>
      <c r="K21">
        <v>53.18</v>
      </c>
    </row>
    <row r="22" s="3" customFormat="1" spans="1:13">
      <c r="A22" s="3" t="s">
        <v>80</v>
      </c>
      <c r="G22">
        <v>27.76</v>
      </c>
      <c r="H22">
        <v>78.85</v>
      </c>
      <c r="I22">
        <v>165.62</v>
      </c>
      <c r="J22">
        <v>171.3</v>
      </c>
      <c r="K22">
        <v>201.16</v>
      </c>
    </row>
    <row r="23" s="3" customFormat="1" spans="1:13">
      <c r="A23" s="3" t="s">
        <v>81</v>
      </c>
      <c r="G23">
        <v>209.72</v>
      </c>
      <c r="H23">
        <v>544.54</v>
      </c>
      <c r="I23">
        <v>797.44</v>
      </c>
      <c r="J23">
        <v>970.96</v>
      </c>
      <c r="K23">
        <v>1102.33</v>
      </c>
    </row>
    <row r="24" s="3" customFormat="1" spans="1:13">
      <c r="A24" s="3" t="s">
        <v>82</v>
      </c>
      <c r="G24">
        <v>1369.03</v>
      </c>
      <c r="H24">
        <v>4.29</v>
      </c>
      <c r="I24">
        <v>24.49</v>
      </c>
      <c r="J24">
        <v>15.25</v>
      </c>
      <c r="K24">
        <v>26.67</v>
      </c>
    </row>
    <row r="25" s="3" customFormat="1" spans="1:13">
      <c r="A25" s="3" t="s">
        <v>8</v>
      </c>
      <c r="G25">
        <v>12.1</v>
      </c>
      <c r="H25">
        <v>20.84</v>
      </c>
      <c r="I25">
        <v>-132.18</v>
      </c>
      <c r="J25">
        <v>48.6</v>
      </c>
      <c r="K25">
        <v>78.73</v>
      </c>
    </row>
    <row r="26" s="3" customFormat="1" spans="1:13">
      <c r="A26" s="3" t="s">
        <v>9</v>
      </c>
      <c r="G26">
        <v>1.71</v>
      </c>
      <c r="H26">
        <v>6.9</v>
      </c>
      <c r="I26">
        <v>24.96</v>
      </c>
      <c r="J26">
        <v>30.62</v>
      </c>
      <c r="K26">
        <v>45.01</v>
      </c>
    </row>
    <row r="27" s="3" customFormat="1" spans="1:13">
      <c r="A27" s="3" t="s">
        <v>10</v>
      </c>
      <c r="G27">
        <v>0.98</v>
      </c>
      <c r="H27">
        <v>3.01</v>
      </c>
      <c r="I27">
        <v>6.66</v>
      </c>
      <c r="J27">
        <v>9.04</v>
      </c>
      <c r="K27">
        <v>12.65</v>
      </c>
    </row>
    <row r="28" s="3" customFormat="1" spans="1:13">
      <c r="A28" s="3" t="s">
        <v>11</v>
      </c>
      <c r="G28">
        <v>-1324.61</v>
      </c>
      <c r="H28">
        <v>22.43</v>
      </c>
      <c r="I28">
        <v>-141.04</v>
      </c>
      <c r="J28">
        <v>147.17</v>
      </c>
      <c r="K28">
        <v>89.61</v>
      </c>
    </row>
    <row r="29" s="3" customFormat="1" spans="1:13">
      <c r="A29" s="3" t="s">
        <v>12</v>
      </c>
      <c r="G29">
        <v>7.61</v>
      </c>
      <c r="H29">
        <v>8</v>
      </c>
      <c r="I29">
        <v>9.93</v>
      </c>
      <c r="J29">
        <v>36.6</v>
      </c>
      <c r="K29">
        <v>16.93</v>
      </c>
    </row>
    <row r="30" s="3" customFormat="1" spans="1:13">
      <c r="A30" s="3" t="s">
        <v>13</v>
      </c>
      <c r="G30">
        <v>-1332.22</v>
      </c>
      <c r="H30">
        <v>15.72</v>
      </c>
      <c r="I30">
        <v>-142.81</v>
      </c>
      <c r="J30">
        <v>111.82</v>
      </c>
      <c r="K30">
        <v>72.69</v>
      </c>
    </row>
    <row r="31" s="3" customFormat="1" spans="1:13">
      <c r="A31" s="3" t="s">
        <v>83</v>
      </c>
    </row>
    <row r="40" spans="1:11">
      <c r="A40" s="1" t="s">
        <v>84</v>
      </c>
    </row>
    <row r="41" s="2" customFormat="1" spans="1:11">
      <c r="A41" s="6" t="s">
        <v>72</v>
      </c>
      <c r="B41" s="7">
        <v>45199</v>
      </c>
      <c r="C41" s="7">
        <v>45291</v>
      </c>
      <c r="D41" s="7">
        <v>45382</v>
      </c>
      <c r="E41" s="7">
        <v>45473</v>
      </c>
      <c r="F41" s="7">
        <v>45565</v>
      </c>
      <c r="G41" s="7">
        <v>45657</v>
      </c>
      <c r="H41" s="7">
        <v>45747</v>
      </c>
      <c r="I41" s="7">
        <v>45838</v>
      </c>
      <c r="J41" s="7">
        <v>45930</v>
      </c>
      <c r="K41" s="7">
        <v>46022</v>
      </c>
    </row>
    <row r="42" s="3" customFormat="1" spans="1:11">
      <c r="A42" s="3" t="s">
        <v>5</v>
      </c>
      <c r="B42">
        <v>496.11</v>
      </c>
      <c r="C42">
        <v>488.22</v>
      </c>
      <c r="D42">
        <v>471.09</v>
      </c>
      <c r="E42">
        <v>554.06</v>
      </c>
      <c r="F42">
        <v>461.82</v>
      </c>
      <c r="G42">
        <v>517.51</v>
      </c>
      <c r="H42">
        <v>533.56</v>
      </c>
      <c r="I42">
        <v>595.25</v>
      </c>
      <c r="J42">
        <v>538.06</v>
      </c>
      <c r="K42">
        <v>601.54</v>
      </c>
    </row>
    <row r="43" s="3" customFormat="1" spans="1:11">
      <c r="A43" s="3" t="s">
        <v>6</v>
      </c>
      <c r="B43">
        <v>455.9</v>
      </c>
      <c r="C43">
        <v>453.77</v>
      </c>
      <c r="D43">
        <v>437.97</v>
      </c>
      <c r="E43">
        <v>507.94</v>
      </c>
      <c r="F43">
        <v>492.52</v>
      </c>
      <c r="G43">
        <v>491.38</v>
      </c>
      <c r="H43">
        <v>506.58</v>
      </c>
      <c r="I43">
        <v>549.45</v>
      </c>
      <c r="J43">
        <v>490.41</v>
      </c>
      <c r="K43">
        <v>536.06</v>
      </c>
    </row>
    <row r="44" s="3" customFormat="1" spans="1:11">
      <c r="A44" s="3" t="s">
        <v>8</v>
      </c>
      <c r="B44">
        <v>7.08</v>
      </c>
      <c r="C44">
        <v>10.97</v>
      </c>
      <c r="D44">
        <v>19.05</v>
      </c>
      <c r="E44">
        <v>18.72</v>
      </c>
      <c r="F44">
        <v>20.02</v>
      </c>
      <c r="G44">
        <v>19.22</v>
      </c>
      <c r="H44">
        <v>20.78</v>
      </c>
      <c r="I44">
        <v>23.89</v>
      </c>
      <c r="J44">
        <v>20.14</v>
      </c>
      <c r="K44">
        <v>15.88</v>
      </c>
    </row>
    <row r="45" s="3" customFormat="1" spans="1:11">
      <c r="A45" s="3" t="s">
        <v>9</v>
      </c>
      <c r="B45">
        <v>6.29</v>
      </c>
      <c r="C45">
        <v>8.06</v>
      </c>
      <c r="D45">
        <v>9.78</v>
      </c>
      <c r="E45">
        <v>9.42</v>
      </c>
      <c r="F45">
        <v>10.56</v>
      </c>
      <c r="G45">
        <v>12.61</v>
      </c>
      <c r="H45">
        <v>12.42</v>
      </c>
      <c r="I45">
        <v>10.82</v>
      </c>
      <c r="J45">
        <v>11.74</v>
      </c>
      <c r="K45">
        <v>11.04</v>
      </c>
    </row>
    <row r="46" s="3" customFormat="1" spans="1:11">
      <c r="A46" s="3" t="s">
        <v>10</v>
      </c>
      <c r="B46">
        <v>1.79</v>
      </c>
      <c r="C46">
        <v>2.64</v>
      </c>
      <c r="D46">
        <v>3.14</v>
      </c>
      <c r="E46">
        <v>3.03</v>
      </c>
      <c r="F46">
        <v>3.13</v>
      </c>
      <c r="G46">
        <v>3.32</v>
      </c>
      <c r="H46">
        <v>3.17</v>
      </c>
      <c r="I46">
        <v>3.28</v>
      </c>
      <c r="J46">
        <v>3.3</v>
      </c>
      <c r="K46">
        <v>3.23</v>
      </c>
    </row>
    <row r="47" s="3" customFormat="1" spans="1:11">
      <c r="A47" s="3" t="s">
        <v>11</v>
      </c>
      <c r="B47">
        <v>39.21</v>
      </c>
      <c r="C47">
        <v>34.72</v>
      </c>
      <c r="D47">
        <v>39.25</v>
      </c>
      <c r="E47">
        <v>52.39</v>
      </c>
      <c r="F47">
        <v>-24.37</v>
      </c>
      <c r="G47">
        <v>29.42</v>
      </c>
      <c r="H47">
        <v>32.17</v>
      </c>
      <c r="I47">
        <v>55.59</v>
      </c>
      <c r="J47">
        <v>52.75</v>
      </c>
      <c r="K47">
        <v>67.09</v>
      </c>
    </row>
    <row r="48" s="3" customFormat="1" spans="1:11">
      <c r="A48" s="3" t="s">
        <v>12</v>
      </c>
      <c r="B48">
        <v>9.77</v>
      </c>
      <c r="C48">
        <v>8.82</v>
      </c>
      <c r="D48">
        <v>8.78</v>
      </c>
      <c r="E48">
        <v>12.13</v>
      </c>
      <c r="F48">
        <v>-5.8</v>
      </c>
      <c r="G48">
        <v>3.39</v>
      </c>
      <c r="H48">
        <v>7.19</v>
      </c>
      <c r="I48">
        <v>14.27</v>
      </c>
      <c r="J48">
        <v>13.52</v>
      </c>
      <c r="K48">
        <v>16.88</v>
      </c>
    </row>
    <row r="49" s="3" customFormat="1" spans="1:11">
      <c r="A49" s="3" t="s">
        <v>13</v>
      </c>
      <c r="B49">
        <v>29.44</v>
      </c>
      <c r="C49">
        <v>25.9</v>
      </c>
      <c r="D49">
        <v>30.48</v>
      </c>
      <c r="E49">
        <v>40.26</v>
      </c>
      <c r="F49">
        <v>-18.58</v>
      </c>
      <c r="G49">
        <v>26.02</v>
      </c>
      <c r="H49">
        <v>24.98</v>
      </c>
      <c r="I49">
        <v>41.33</v>
      </c>
      <c r="J49">
        <v>39.23</v>
      </c>
      <c r="K49">
        <v>50.2</v>
      </c>
    </row>
    <row r="50" spans="1:11">
      <c r="A50" s="3" t="s">
        <v>7</v>
      </c>
      <c r="B50">
        <v>40.21</v>
      </c>
      <c r="C50">
        <v>34.45</v>
      </c>
      <c r="D50">
        <v>33.12</v>
      </c>
      <c r="E50">
        <v>46.12</v>
      </c>
      <c r="F50">
        <v>-30.7</v>
      </c>
      <c r="G50">
        <v>26.13</v>
      </c>
      <c r="H50">
        <v>26.98</v>
      </c>
      <c r="I50">
        <v>45.8</v>
      </c>
      <c r="J50">
        <v>47.65</v>
      </c>
      <c r="K50">
        <v>65.48</v>
      </c>
    </row>
    <row r="55" spans="1:11">
      <c r="A55" s="1" t="s">
        <v>85</v>
      </c>
    </row>
    <row r="56" s="2" customFormat="1" spans="1:11">
      <c r="A56" s="6" t="s">
        <v>72</v>
      </c>
      <c r="B56" s="7"/>
      <c r="C56" s="7"/>
      <c r="D56" s="7"/>
      <c r="E56" s="7"/>
      <c r="F56" s="7"/>
      <c r="G56" s="7">
        <v>44286</v>
      </c>
      <c r="H56" s="7">
        <v>44651</v>
      </c>
      <c r="I56" s="7">
        <v>45016</v>
      </c>
      <c r="J56" s="7">
        <v>45382</v>
      </c>
      <c r="K56" s="7">
        <v>45747</v>
      </c>
    </row>
    <row r="57" spans="1:11">
      <c r="A57" s="3" t="s">
        <v>30</v>
      </c>
      <c r="G57">
        <v>0.01</v>
      </c>
      <c r="H57">
        <v>0.01</v>
      </c>
      <c r="I57">
        <v>136.34</v>
      </c>
      <c r="J57">
        <v>324.24</v>
      </c>
      <c r="K57">
        <v>325.18</v>
      </c>
    </row>
    <row r="58" spans="1:11">
      <c r="A58" s="3" t="s">
        <v>31</v>
      </c>
      <c r="G58">
        <v>-1765.17</v>
      </c>
      <c r="H58">
        <v>-1087.33</v>
      </c>
      <c r="I58">
        <v>-1323.37</v>
      </c>
      <c r="J58">
        <v>771.03</v>
      </c>
      <c r="K58">
        <v>854.65</v>
      </c>
    </row>
    <row r="59" spans="1:11">
      <c r="A59" s="3" t="s">
        <v>32</v>
      </c>
      <c r="G59">
        <v>1954.01</v>
      </c>
      <c r="H59">
        <v>1852.57</v>
      </c>
      <c r="I59">
        <v>1885.13</v>
      </c>
      <c r="J59">
        <v>130.97</v>
      </c>
      <c r="K59">
        <v>136.4</v>
      </c>
    </row>
    <row r="60" spans="1:11">
      <c r="A60" s="3" t="s">
        <v>33</v>
      </c>
      <c r="G60">
        <v>113.79</v>
      </c>
      <c r="H60">
        <v>271.05</v>
      </c>
      <c r="I60">
        <v>278.23</v>
      </c>
      <c r="J60">
        <v>413.39</v>
      </c>
      <c r="K60">
        <v>491.95</v>
      </c>
    </row>
    <row r="61" s="1" customFormat="1" spans="1:11">
      <c r="A61" s="1" t="s">
        <v>34</v>
      </c>
      <c r="G61">
        <v>302.64</v>
      </c>
      <c r="H61">
        <v>1036.3</v>
      </c>
      <c r="I61">
        <v>976.33</v>
      </c>
      <c r="J61">
        <v>1639.63</v>
      </c>
      <c r="K61">
        <v>1808.18</v>
      </c>
    </row>
    <row r="62" spans="1:11">
      <c r="A62" s="3" t="s">
        <v>35</v>
      </c>
      <c r="G62">
        <v>21.09</v>
      </c>
      <c r="H62">
        <v>341.6</v>
      </c>
      <c r="I62">
        <v>252.46</v>
      </c>
      <c r="J62">
        <v>298.75</v>
      </c>
      <c r="K62">
        <v>302.18</v>
      </c>
    </row>
    <row r="63" spans="1:11">
      <c r="A63" s="3" t="s">
        <v>36</v>
      </c>
      <c r="H63">
        <v>1.88</v>
      </c>
      <c r="J63">
        <v>0.46</v>
      </c>
      <c r="K63">
        <v>0.08</v>
      </c>
    </row>
    <row r="64" spans="1:11">
      <c r="A64" s="3" t="s">
        <v>37</v>
      </c>
      <c r="G64">
        <v>164.43</v>
      </c>
      <c r="H64">
        <v>338.51</v>
      </c>
      <c r="I64">
        <v>260.04</v>
      </c>
      <c r="J64">
        <v>291.77</v>
      </c>
      <c r="K64">
        <v>304.78</v>
      </c>
    </row>
    <row r="65" spans="1:11">
      <c r="A65" s="3" t="s">
        <v>38</v>
      </c>
      <c r="G65">
        <v>117.12</v>
      </c>
      <c r="H65">
        <v>354.31</v>
      </c>
      <c r="I65">
        <v>463.83</v>
      </c>
      <c r="J65">
        <v>1048.65</v>
      </c>
      <c r="K65">
        <v>1201.14</v>
      </c>
    </row>
    <row r="66" s="1" customFormat="1" spans="1:11">
      <c r="A66" s="1" t="s">
        <v>34</v>
      </c>
      <c r="G66">
        <v>302.64</v>
      </c>
      <c r="H66">
        <v>1036.3</v>
      </c>
      <c r="I66">
        <v>976.33</v>
      </c>
      <c r="J66">
        <v>1639.63</v>
      </c>
      <c r="K66">
        <v>1808.18</v>
      </c>
    </row>
    <row r="67" s="3" customFormat="1" spans="1:11">
      <c r="A67" s="3" t="s">
        <v>86</v>
      </c>
      <c r="G67">
        <v>33.84</v>
      </c>
      <c r="H67">
        <v>72.79</v>
      </c>
      <c r="I67">
        <v>127.7</v>
      </c>
      <c r="J67">
        <v>159.38</v>
      </c>
      <c r="K67">
        <v>132.33</v>
      </c>
    </row>
    <row r="68" spans="1:11">
      <c r="A68" s="3" t="s">
        <v>41</v>
      </c>
      <c r="G68">
        <v>41.35</v>
      </c>
      <c r="H68">
        <v>67.14</v>
      </c>
      <c r="I68">
        <v>123.85</v>
      </c>
      <c r="J68">
        <v>132.22</v>
      </c>
      <c r="K68">
        <v>176.32</v>
      </c>
    </row>
    <row r="69" spans="1:11">
      <c r="A69" s="3" t="s">
        <v>87</v>
      </c>
      <c r="G69">
        <v>20.75</v>
      </c>
      <c r="H69">
        <v>87.69</v>
      </c>
      <c r="I69">
        <v>68.06</v>
      </c>
      <c r="J69">
        <v>485.65</v>
      </c>
      <c r="K69">
        <v>331.29</v>
      </c>
    </row>
    <row r="70" spans="1:11">
      <c r="A70" s="3" t="s">
        <v>88</v>
      </c>
      <c r="G70">
        <v>10515</v>
      </c>
      <c r="H70">
        <v>10546</v>
      </c>
      <c r="I70">
        <v>136336626</v>
      </c>
      <c r="J70">
        <v>324244157</v>
      </c>
      <c r="K70">
        <v>325183610</v>
      </c>
    </row>
    <row r="71" spans="1:11">
      <c r="A71" s="3" t="s">
        <v>89</v>
      </c>
    </row>
    <row r="72" spans="1:11">
      <c r="A72" s="3" t="s">
        <v>90</v>
      </c>
      <c r="G72">
        <v>10</v>
      </c>
      <c r="H72">
        <v>10</v>
      </c>
      <c r="I72">
        <v>10</v>
      </c>
      <c r="J72">
        <v>10</v>
      </c>
      <c r="K72">
        <v>10</v>
      </c>
    </row>
    <row r="80" spans="1:11">
      <c r="A80" s="1" t="s">
        <v>91</v>
      </c>
    </row>
    <row r="81" s="2" customFormat="1" spans="1:11">
      <c r="A81" s="6" t="s">
        <v>72</v>
      </c>
      <c r="B81" s="7"/>
      <c r="C81" s="7"/>
      <c r="D81" s="7"/>
      <c r="E81" s="7"/>
      <c r="F81" s="7"/>
      <c r="G81" s="7">
        <v>44286</v>
      </c>
      <c r="H81" s="7">
        <v>44651</v>
      </c>
      <c r="I81" s="7">
        <v>45016</v>
      </c>
      <c r="J81" s="7">
        <v>45382</v>
      </c>
      <c r="K81" s="7">
        <v>45747</v>
      </c>
    </row>
    <row r="82" s="1" customFormat="1" spans="1:11">
      <c r="A82" s="3" t="s">
        <v>46</v>
      </c>
      <c r="G82">
        <v>29.73</v>
      </c>
      <c r="H82">
        <v>44.59</v>
      </c>
      <c r="I82">
        <v>-51.55</v>
      </c>
      <c r="J82">
        <v>235.38</v>
      </c>
      <c r="K82">
        <v>102.18</v>
      </c>
    </row>
    <row r="83" s="3" customFormat="1" spans="1:11">
      <c r="A83" s="3" t="s">
        <v>47</v>
      </c>
      <c r="G83">
        <v>-20.61</v>
      </c>
      <c r="H83">
        <v>-504.76</v>
      </c>
      <c r="I83">
        <v>39.87</v>
      </c>
      <c r="J83">
        <v>-469.82</v>
      </c>
      <c r="K83">
        <v>-145.12</v>
      </c>
    </row>
    <row r="84" s="3" customFormat="1" spans="1:11">
      <c r="A84" s="3" t="s">
        <v>48</v>
      </c>
      <c r="G84">
        <v>-1.28</v>
      </c>
      <c r="H84">
        <v>480.8</v>
      </c>
      <c r="I84">
        <v>-14.06</v>
      </c>
      <c r="J84">
        <v>336.86</v>
      </c>
      <c r="K84">
        <v>-31.11</v>
      </c>
    </row>
    <row r="85" s="1" customFormat="1" spans="1:11">
      <c r="A85" s="3" t="s">
        <v>49</v>
      </c>
      <c r="G85">
        <v>7.84</v>
      </c>
      <c r="H85">
        <v>20.63</v>
      </c>
      <c r="I85">
        <v>-25.74</v>
      </c>
      <c r="J85">
        <v>102.42</v>
      </c>
      <c r="K85">
        <v>-74.05</v>
      </c>
    </row>
    <row r="90" s="1" customFormat="1" spans="1:11">
      <c r="A90" s="1" t="s">
        <v>92</v>
      </c>
      <c r="J90">
        <v>402.4</v>
      </c>
      <c r="K90">
        <v>231.86</v>
      </c>
    </row>
    <row r="92" s="1" customFormat="1" spans="1:11">
      <c r="A92" s="1" t="s">
        <v>93</v>
      </c>
    </row>
    <row r="93" spans="1:11">
      <c r="A93" s="3" t="s">
        <v>94</v>
      </c>
      <c r="B93" s="11">
        <f>IF($B7&gt;0,(B70*B72/$B7)+SUM(C71:$K71),0)/10000000</f>
        <v>0</v>
      </c>
      <c r="C93" s="11">
        <f>IF($B7&gt;0,(C70*C72/$B7)+SUM(D71:$K71),0)/10000000</f>
        <v>0</v>
      </c>
      <c r="D93" s="11">
        <f>IF($B7&gt;0,(D70*D72/$B7)+SUM(E71:$K71),0)/10000000</f>
        <v>0</v>
      </c>
      <c r="E93" s="11">
        <f>IF($B7&gt;0,(E70*E72/$B7)+SUM(F71:$K71),0)/10000000</f>
        <v>0</v>
      </c>
      <c r="F93" s="11">
        <f>IF($B7&gt;0,(F70*F72/$B7)+SUM(G71:$K71),0)/10000000</f>
        <v>0</v>
      </c>
      <c r="G93" s="11">
        <f>IF($B7&gt;0,(G70*G72/$B7)+SUM(H71:$K71),0)/10000000</f>
        <v>0.0010515</v>
      </c>
      <c r="H93" s="11">
        <f>IF($B7&gt;0,(H70*H72/$B7)+SUM(I71:$K71),0)/10000000</f>
        <v>0.0010546</v>
      </c>
      <c r="I93" s="11">
        <v>13.63</v>
      </c>
      <c r="J93" s="11">
        <v>32.42</v>
      </c>
      <c r="K93" s="11">
        <v>32.52</v>
      </c>
    </row>
  </sheetData>
  <mergeCells count="2">
    <mergeCell ref="E1:K1"/>
    <mergeCell ref="E2:K2"/>
  </mergeCells>
  <conditionalFormatting sqref="E1:K1">
    <cfRule type="cellIs" dxfId="3" priority="1" operator="notEqual">
      <formula>""</formula>
    </cfRule>
  </conditionalFormatting>
  <hyperlinks>
    <hyperlink ref="E1:K1" r:id="rId2" display="=IF(B2&lt;&gt;B3,&quot;A NEW VERSION OF THE WORKSHEET IS AVAILABLE&quot;,&quot;&quot;)"/>
  </hyperlinks>
  <pageMargins left="0.7" right="0.7" top="0.75" bottom="0.75" header="0.3" footer="0.3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Profit &amp; Loss</vt:lpstr>
      <vt:lpstr>Quarters</vt:lpstr>
      <vt:lpstr>Balance Sheet</vt:lpstr>
      <vt:lpstr>Cash Flow</vt:lpstr>
      <vt:lpstr>Customization</vt:lpstr>
      <vt:lpstr>Data 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Drishti Singh</cp:lastModifiedBy>
  <dcterms:created xsi:type="dcterms:W3CDTF">2012-08-17T09:55:00Z</dcterms:created>
  <cp:lastPrinted>2012-12-06T18:14:00Z</cp:lastPrinted>
  <dcterms:modified xsi:type="dcterms:W3CDTF">2026-05-15T19:38:03Z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1033-12.1.0.26372</vt:lpwstr>
  </property>
  <property fmtid="{D5CDD505-2E9C-101B-9397-08002B2CF9AE}" pid="3" name="CalculationRule">
    <vt:i4>0</vt:i4>
  </property>
  <property fmtid="{D5CDD505-2E9C-101B-9397-08002B2CF9AE}" pid="4" name="ICV">
    <vt:lpwstr>6DF6D13215854035A1890B20777A9C85_13</vt:lpwstr>
  </property>
</Properties>
</file>